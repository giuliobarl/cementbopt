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Datasheet" sheetId="1" state="visible" r:id="rId1"/>
    <sheet name="Solubilit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5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right" vertical="center"/>
    </xf>
    <xf numFmtId="164" fontId="0" fillId="0" borderId="9" applyAlignment="1" pivotButton="0" quotePrefix="0" xfId="0">
      <alignment horizontal="right" vertical="center"/>
    </xf>
    <xf numFmtId="165" fontId="0" fillId="0" borderId="9" applyAlignment="1" pivotButton="0" quotePrefix="0" xfId="0">
      <alignment horizontal="right" vertical="center"/>
    </xf>
    <xf numFmtId="165" fontId="0" fillId="0" borderId="10" applyAlignment="1" pivotButton="0" quotePrefix="0" xfId="0">
      <alignment horizontal="right" vertical="center"/>
    </xf>
    <xf numFmtId="0" fontId="2" fillId="0" borderId="11" pivotButton="0" quotePrefix="0" xfId="0"/>
    <xf numFmtId="0" fontId="0" fillId="0" borderId="12" pivotButton="0" quotePrefix="0" xfId="0"/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right" vertical="center"/>
    </xf>
    <xf numFmtId="164" fontId="0" fillId="0" borderId="15" applyAlignment="1" pivotButton="0" quotePrefix="0" xfId="0">
      <alignment horizontal="right" vertical="center"/>
    </xf>
    <xf numFmtId="2" fontId="1" fillId="0" borderId="15" pivotButton="0" quotePrefix="0" xfId="0"/>
    <xf numFmtId="165" fontId="0" fillId="0" borderId="16" applyAlignment="1" pivotButton="0" quotePrefix="0" xfId="0">
      <alignment horizontal="right" vertical="center"/>
    </xf>
    <xf numFmtId="0" fontId="0" fillId="0" borderId="17" pivotButton="0" quotePrefix="0" xfId="0"/>
    <xf numFmtId="2" fontId="0" fillId="0" borderId="18" pivotButton="0" quotePrefix="0" xfId="0"/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0">
      <alignment horizontal="right" vertical="center"/>
    </xf>
    <xf numFmtId="164" fontId="0" fillId="0" borderId="21" applyAlignment="1" pivotButton="0" quotePrefix="0" xfId="0">
      <alignment horizontal="right" vertical="center"/>
    </xf>
    <xf numFmtId="2" fontId="1" fillId="0" borderId="21" pivotButton="0" quotePrefix="0" xfId="0"/>
    <xf numFmtId="165" fontId="0" fillId="0" borderId="22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2" fontId="0" fillId="0" borderId="0" pivotButton="0" quotePrefix="0" xfId="0"/>
    <xf numFmtId="0" fontId="4" fillId="0" borderId="23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opt_round</t>
        </is>
      </c>
      <c r="B1" s="29" t="inlineStr">
        <is>
          <t>salt</t>
        </is>
      </c>
      <c r="C1" s="29" t="inlineStr">
        <is>
          <t>additive_concentration</t>
        </is>
      </c>
      <c r="D1" s="29" t="inlineStr">
        <is>
          <t>water_to_binder_ratio</t>
        </is>
      </c>
      <c r="E1" s="29" t="inlineStr">
        <is>
          <t>antisettling_concentration</t>
        </is>
      </c>
      <c r="F1" s="29" t="inlineStr">
        <is>
          <t>kernel</t>
        </is>
      </c>
      <c r="G1" s="29" t="inlineStr">
        <is>
          <t>acquisition</t>
        </is>
      </c>
      <c r="H1" s="29" t="inlineStr">
        <is>
          <t>E_d</t>
        </is>
      </c>
      <c r="I1" s="29" t="inlineStr">
        <is>
          <t>KPI</t>
        </is>
      </c>
    </row>
    <row r="2">
      <c r="A2" t="n">
        <v>0</v>
      </c>
      <c r="B2" t="inlineStr">
        <is>
          <t>Al2(SO4)3</t>
        </is>
      </c>
      <c r="C2" t="n">
        <v>0.32</v>
      </c>
      <c r="D2" t="n">
        <v>0.9399999999999999</v>
      </c>
      <c r="E2" t="n">
        <v>0.35</v>
      </c>
      <c r="F2" t="inlineStr"/>
      <c r="G2" t="inlineStr"/>
      <c r="H2" t="n">
        <v>1.294777156133434</v>
      </c>
      <c r="I2" t="n">
        <v>0.4127004048856528</v>
      </c>
    </row>
    <row r="3">
      <c r="A3" t="n">
        <v>0</v>
      </c>
      <c r="B3" t="inlineStr">
        <is>
          <t>CaCl2</t>
        </is>
      </c>
      <c r="C3" t="n">
        <v>0.85</v>
      </c>
      <c r="D3" t="n">
        <v>1.45</v>
      </c>
      <c r="E3" t="n">
        <v>0.48</v>
      </c>
      <c r="F3" t="inlineStr"/>
      <c r="G3" t="inlineStr"/>
      <c r="H3" t="n">
        <v>2.315986749065043</v>
      </c>
      <c r="I3" t="n">
        <v>0.8047596307004847</v>
      </c>
    </row>
    <row r="4">
      <c r="A4" t="n">
        <v>0</v>
      </c>
      <c r="B4" t="inlineStr">
        <is>
          <t>CuSO4</t>
        </is>
      </c>
      <c r="C4" t="n">
        <v>0.7</v>
      </c>
      <c r="D4" t="n">
        <v>1.39</v>
      </c>
      <c r="E4" t="n">
        <v>0.37</v>
      </c>
      <c r="F4" t="inlineStr"/>
      <c r="G4" t="inlineStr"/>
      <c r="H4" t="n">
        <v>0.3312061637199539</v>
      </c>
      <c r="I4" t="n">
        <v>0.2433483963096766</v>
      </c>
    </row>
    <row r="5">
      <c r="A5" t="n">
        <v>0</v>
      </c>
      <c r="B5" t="inlineStr">
        <is>
          <t>K2CO3</t>
        </is>
      </c>
      <c r="C5" t="n">
        <v>0.19</v>
      </c>
      <c r="D5" t="n">
        <v>1.26</v>
      </c>
      <c r="E5" t="n">
        <v>0.06</v>
      </c>
      <c r="F5" t="inlineStr"/>
      <c r="G5" t="inlineStr"/>
      <c r="H5" t="n">
        <v>0.6886871269461242</v>
      </c>
      <c r="I5" t="n">
        <v>0.7385927780745308</v>
      </c>
    </row>
    <row r="6">
      <c r="A6" t="n">
        <v>0</v>
      </c>
      <c r="B6" t="inlineStr">
        <is>
          <t>KAl(SO4)2</t>
        </is>
      </c>
      <c r="C6" t="n">
        <v>0.16</v>
      </c>
      <c r="D6" t="n">
        <v>1.22</v>
      </c>
      <c r="E6" t="n">
        <v>0.29</v>
      </c>
      <c r="F6" t="inlineStr"/>
      <c r="G6" t="inlineStr"/>
      <c r="H6" t="n">
        <v>0.3312061637199539</v>
      </c>
      <c r="I6" t="n">
        <v>0.3722185375180384</v>
      </c>
    </row>
    <row r="7">
      <c r="A7" t="n">
        <v>0</v>
      </c>
      <c r="B7" t="inlineStr">
        <is>
          <t>LiCl</t>
        </is>
      </c>
      <c r="C7" t="n">
        <v>0.32</v>
      </c>
      <c r="D7" t="n">
        <v>1.21</v>
      </c>
      <c r="E7" t="n">
        <v>0.31</v>
      </c>
      <c r="F7" t="inlineStr"/>
      <c r="G7" t="inlineStr"/>
      <c r="H7" t="n">
        <v>0.6550644042058535</v>
      </c>
      <c r="I7" t="n">
        <v>0.1807178161506279</v>
      </c>
    </row>
    <row r="8">
      <c r="A8" t="n">
        <v>0</v>
      </c>
      <c r="B8" t="inlineStr">
        <is>
          <t>Mg(NO3)2</t>
        </is>
      </c>
      <c r="C8" t="n">
        <v>0.36</v>
      </c>
      <c r="D8" t="n">
        <v>0.8100000000000001</v>
      </c>
      <c r="E8" t="n">
        <v>0.14</v>
      </c>
      <c r="F8" t="inlineStr"/>
      <c r="G8" t="inlineStr"/>
      <c r="H8" t="n">
        <v>0.3312061637199539</v>
      </c>
      <c r="I8" t="n">
        <v>0.7976219204990233</v>
      </c>
    </row>
    <row r="9">
      <c r="A9" t="n">
        <v>0</v>
      </c>
      <c r="B9" t="inlineStr">
        <is>
          <t>MgCl2</t>
        </is>
      </c>
      <c r="C9" t="n">
        <v>0.42</v>
      </c>
      <c r="D9" t="n">
        <v>0.89</v>
      </c>
      <c r="E9" t="n">
        <v>0.12</v>
      </c>
      <c r="F9" t="inlineStr"/>
      <c r="G9" t="inlineStr"/>
      <c r="H9" t="n">
        <v>0.8126034087879637</v>
      </c>
      <c r="I9" t="n">
        <v>0.1691627230271603</v>
      </c>
    </row>
    <row r="10">
      <c r="A10" t="n">
        <v>0</v>
      </c>
      <c r="B10" t="inlineStr">
        <is>
          <t>MgSO4</t>
        </is>
      </c>
      <c r="C10" t="n">
        <v>0.19</v>
      </c>
      <c r="D10" t="n">
        <v>1.13</v>
      </c>
      <c r="E10" t="n">
        <v>0.25</v>
      </c>
      <c r="F10" t="inlineStr"/>
      <c r="G10" t="inlineStr"/>
      <c r="H10" t="n">
        <v>1.227741608651108</v>
      </c>
      <c r="I10" t="n">
        <v>0.3452686067832699</v>
      </c>
    </row>
    <row r="11">
      <c r="A11" t="n">
        <v>0</v>
      </c>
      <c r="B11" t="inlineStr">
        <is>
          <t>SrBr2</t>
        </is>
      </c>
      <c r="C11" t="n">
        <v>0.89</v>
      </c>
      <c r="D11" t="n">
        <v>1.14</v>
      </c>
      <c r="E11" t="n">
        <v>0.13</v>
      </c>
      <c r="F11" t="inlineStr"/>
      <c r="G11" t="inlineStr"/>
      <c r="H11" t="n">
        <v>0.3312061637199539</v>
      </c>
      <c r="I11" t="n">
        <v>0.9973066814431442</v>
      </c>
    </row>
    <row r="12">
      <c r="A12" t="n">
        <v>0</v>
      </c>
      <c r="B12" t="inlineStr">
        <is>
          <t>Zn(NO3)2</t>
        </is>
      </c>
      <c r="C12" t="n">
        <v>0.6</v>
      </c>
      <c r="D12" t="n">
        <v>1.04</v>
      </c>
      <c r="E12" t="n">
        <v>0.44</v>
      </c>
      <c r="F12" t="inlineStr"/>
      <c r="G12" t="inlineStr"/>
      <c r="H12" t="n">
        <v>2.217983180092738</v>
      </c>
      <c r="I12" t="n">
        <v>0.7699640521081359</v>
      </c>
    </row>
    <row r="13">
      <c r="A13" t="n">
        <v>1</v>
      </c>
      <c r="B13" t="inlineStr">
        <is>
          <t>Mg(NO3)2</t>
        </is>
      </c>
      <c r="C13" t="n">
        <v>0.5346367101381225</v>
      </c>
      <c r="D13" t="n">
        <v>0.8400682927923274</v>
      </c>
      <c r="E13" t="n">
        <v>0.1935385573567389</v>
      </c>
      <c r="F13" t="inlineStr">
        <is>
          <t>Matern</t>
        </is>
      </c>
      <c r="G13" t="inlineStr">
        <is>
          <t>EI</t>
        </is>
      </c>
      <c r="H13" t="inlineStr"/>
      <c r="I13" t="inlineStr"/>
    </row>
    <row r="14">
      <c r="A14" t="n">
        <v>1</v>
      </c>
      <c r="B14" t="inlineStr">
        <is>
          <t>CaCl2</t>
        </is>
      </c>
      <c r="C14" t="n">
        <v>0.4312851110408132</v>
      </c>
      <c r="D14" t="n">
        <v>0.7903653628926631</v>
      </c>
      <c r="E14" t="n">
        <v>0.3654372538624396</v>
      </c>
      <c r="F14" t="inlineStr">
        <is>
          <t>Matern</t>
        </is>
      </c>
      <c r="G14" t="inlineStr">
        <is>
          <t>PI</t>
        </is>
      </c>
      <c r="H14" t="inlineStr"/>
      <c r="I14" t="inlineStr"/>
    </row>
    <row r="15">
      <c r="A15" t="n">
        <v>1</v>
      </c>
      <c r="B15" t="inlineStr">
        <is>
          <t>K2CO3</t>
        </is>
      </c>
      <c r="C15" t="n">
        <v>0.3200736459214643</v>
      </c>
      <c r="D15" t="n">
        <v>0.7820849930706293</v>
      </c>
      <c r="E15" t="n">
        <v>0.1062447824997049</v>
      </c>
      <c r="F15" t="inlineStr">
        <is>
          <t>Matern</t>
        </is>
      </c>
      <c r="G15" t="inlineStr">
        <is>
          <t>LCB_low</t>
        </is>
      </c>
      <c r="H15" t="inlineStr"/>
      <c r="I15" t="inlineStr"/>
    </row>
    <row r="16">
      <c r="A16" t="n">
        <v>1</v>
      </c>
      <c r="B16" t="inlineStr">
        <is>
          <t>Zn(NO3)2</t>
        </is>
      </c>
      <c r="C16" t="n">
        <v>0.7137046041746457</v>
      </c>
      <c r="D16" t="n">
        <v>1.274983097724522</v>
      </c>
      <c r="E16" t="n">
        <v>0.04351038716567043</v>
      </c>
      <c r="F16" t="inlineStr">
        <is>
          <t>Matern</t>
        </is>
      </c>
      <c r="G16" t="inlineStr">
        <is>
          <t>LCB_med</t>
        </is>
      </c>
      <c r="H16" t="inlineStr"/>
      <c r="I16" t="inlineStr"/>
    </row>
    <row r="17">
      <c r="A17" t="n">
        <v>1</v>
      </c>
      <c r="B17" t="inlineStr">
        <is>
          <t>K2CO3</t>
        </is>
      </c>
      <c r="C17" t="n">
        <v>0.8097246327361329</v>
      </c>
      <c r="D17" t="n">
        <v>1.116144052280738</v>
      </c>
      <c r="E17" t="n">
        <v>0.0952247063220004</v>
      </c>
      <c r="F17" t="inlineStr">
        <is>
          <t>Matern</t>
        </is>
      </c>
      <c r="G17" t="inlineStr">
        <is>
          <t>LCB_high</t>
        </is>
      </c>
      <c r="H17" t="inlineStr"/>
      <c r="I17" t="inlineStr"/>
    </row>
    <row r="18">
      <c r="A18" t="n">
        <v>1</v>
      </c>
      <c r="B18" t="inlineStr">
        <is>
          <t>Al2(SO4)3</t>
        </is>
      </c>
      <c r="C18" t="n">
        <v>0.5706810625044695</v>
      </c>
      <c r="D18" t="n">
        <v>1.20576528001966</v>
      </c>
      <c r="E18" t="n">
        <v>0.4309458787516101</v>
      </c>
      <c r="F18" t="inlineStr">
        <is>
          <t>RBF</t>
        </is>
      </c>
      <c r="G18" t="inlineStr">
        <is>
          <t>EI</t>
        </is>
      </c>
      <c r="H18" t="inlineStr"/>
      <c r="I18" t="inlineStr"/>
    </row>
    <row r="19">
      <c r="A19" t="n">
        <v>1</v>
      </c>
      <c r="B19" t="inlineStr">
        <is>
          <t>CaCl2</t>
        </is>
      </c>
      <c r="C19" t="n">
        <v>0.5706103265102893</v>
      </c>
      <c r="D19" t="n">
        <v>0.7613678521984324</v>
      </c>
      <c r="E19" t="n">
        <v>0.1377298603414094</v>
      </c>
      <c r="F19" t="inlineStr">
        <is>
          <t>RBF</t>
        </is>
      </c>
      <c r="G19" t="inlineStr">
        <is>
          <t>PI</t>
        </is>
      </c>
      <c r="H19" t="inlineStr"/>
      <c r="I19" t="inlineStr"/>
    </row>
    <row r="20">
      <c r="A20" t="n">
        <v>1</v>
      </c>
      <c r="B20" t="inlineStr">
        <is>
          <t>SrBr2</t>
        </is>
      </c>
      <c r="C20" t="n">
        <v>0.5307265123872655</v>
      </c>
      <c r="D20" t="n">
        <v>1.274190196307749</v>
      </c>
      <c r="E20" t="n">
        <v>0.4307895413322284</v>
      </c>
      <c r="F20" t="inlineStr">
        <is>
          <t>RBF</t>
        </is>
      </c>
      <c r="G20" t="inlineStr">
        <is>
          <t>LCB_low</t>
        </is>
      </c>
      <c r="H20" t="inlineStr"/>
      <c r="I20" t="inlineStr"/>
    </row>
    <row r="21">
      <c r="A21" t="n">
        <v>1</v>
      </c>
      <c r="B21" t="inlineStr">
        <is>
          <t>MgSO4</t>
        </is>
      </c>
      <c r="C21" t="n">
        <v>0.6165690304053538</v>
      </c>
      <c r="D21" t="n">
        <v>1.00970074999879</v>
      </c>
      <c r="E21" t="n">
        <v>0.275377337542739</v>
      </c>
      <c r="F21" t="inlineStr">
        <is>
          <t>RBF</t>
        </is>
      </c>
      <c r="G21" t="inlineStr">
        <is>
          <t>LCB_med</t>
        </is>
      </c>
      <c r="H21" t="inlineStr"/>
      <c r="I21" t="inlineStr"/>
    </row>
    <row r="22">
      <c r="A22" t="n">
        <v>1</v>
      </c>
      <c r="B22" t="inlineStr">
        <is>
          <t>K2CO3</t>
        </is>
      </c>
      <c r="C22" t="n">
        <v>0.8400729729318296</v>
      </c>
      <c r="D22" t="n">
        <v>1.070849409171792</v>
      </c>
      <c r="E22" t="n">
        <v>0.1336360379234012</v>
      </c>
      <c r="F22" t="inlineStr">
        <is>
          <t>RBF</t>
        </is>
      </c>
      <c r="G22" t="inlineStr">
        <is>
          <t>LCB_high</t>
        </is>
      </c>
      <c r="H22" t="inlineStr"/>
      <c r="I22" t="inlineStr"/>
    </row>
    <row r="23">
      <c r="A23" t="n">
        <v>1</v>
      </c>
      <c r="B23" t="inlineStr">
        <is>
          <t>CuSO4</t>
        </is>
      </c>
      <c r="C23" t="n">
        <v>0.5715866278757408</v>
      </c>
      <c r="D23" t="n">
        <v>1.251368902549234</v>
      </c>
      <c r="E23" t="n">
        <v>0.06208462857777845</v>
      </c>
      <c r="F23" t="inlineStr">
        <is>
          <t>Matern</t>
        </is>
      </c>
      <c r="G23" t="inlineStr">
        <is>
          <t>EI</t>
        </is>
      </c>
      <c r="H23" t="inlineStr"/>
      <c r="I23" t="inlineStr"/>
    </row>
    <row r="24">
      <c r="A24" t="n">
        <v>1</v>
      </c>
      <c r="B24" t="inlineStr">
        <is>
          <t>K2CO3</t>
        </is>
      </c>
      <c r="C24" t="n">
        <v>0.5296455986533183</v>
      </c>
      <c r="D24" t="n">
        <v>0.7272982497906475</v>
      </c>
      <c r="E24" t="n">
        <v>0.2965022654239351</v>
      </c>
      <c r="F24" t="inlineStr">
        <is>
          <t>Matern</t>
        </is>
      </c>
      <c r="G24" t="inlineStr">
        <is>
          <t>PI</t>
        </is>
      </c>
      <c r="H24" t="inlineStr"/>
      <c r="I24" t="inlineStr"/>
    </row>
    <row r="25">
      <c r="A25" t="n">
        <v>1</v>
      </c>
      <c r="B25" t="inlineStr">
        <is>
          <t>CuSO4</t>
        </is>
      </c>
      <c r="C25" t="n">
        <v>0.581722020312485</v>
      </c>
      <c r="D25" t="n">
        <v>0.9573015471288221</v>
      </c>
      <c r="E25" t="n">
        <v>0.4847357557376988</v>
      </c>
      <c r="F25" t="inlineStr">
        <is>
          <t>Matern</t>
        </is>
      </c>
      <c r="G25" t="inlineStr">
        <is>
          <t>LCB_low</t>
        </is>
      </c>
      <c r="H25" t="inlineStr"/>
      <c r="I25" t="inlineStr"/>
    </row>
    <row r="26">
      <c r="A26" t="n">
        <v>1</v>
      </c>
      <c r="B26" t="inlineStr">
        <is>
          <t>SrBr2</t>
        </is>
      </c>
      <c r="C26" t="n">
        <v>0.7290157766662509</v>
      </c>
      <c r="D26" t="n">
        <v>0.8070482174341609</v>
      </c>
      <c r="E26" t="n">
        <v>0.0748452799511073</v>
      </c>
      <c r="F26" t="inlineStr">
        <is>
          <t>Matern</t>
        </is>
      </c>
      <c r="G26" t="inlineStr">
        <is>
          <t>LCB_med</t>
        </is>
      </c>
      <c r="H26" t="inlineStr"/>
      <c r="I26" t="inlineStr"/>
    </row>
    <row r="27">
      <c r="A27" t="n">
        <v>1</v>
      </c>
      <c r="B27" t="inlineStr">
        <is>
          <t>K2CO3</t>
        </is>
      </c>
      <c r="C27" t="n">
        <v>0.4909775255644873</v>
      </c>
      <c r="D27" t="n">
        <v>1.235348351535849</v>
      </c>
      <c r="E27" t="n">
        <v>0.4894053553506778</v>
      </c>
      <c r="F27" t="inlineStr">
        <is>
          <t>Matern</t>
        </is>
      </c>
      <c r="G27" t="inlineStr">
        <is>
          <t>LCB_high</t>
        </is>
      </c>
      <c r="H27" t="inlineStr"/>
      <c r="I27" t="inlineStr"/>
    </row>
    <row r="28">
      <c r="A28" t="n">
        <v>1</v>
      </c>
      <c r="B28" t="inlineStr">
        <is>
          <t>Zn(NO3)2</t>
        </is>
      </c>
      <c r="C28" t="n">
        <v>0.1728571293993808</v>
      </c>
      <c r="D28" t="n">
        <v>1.037895501961694</v>
      </c>
      <c r="E28" t="n">
        <v>0.2158708140545264</v>
      </c>
      <c r="F28" t="inlineStr">
        <is>
          <t>RBF</t>
        </is>
      </c>
      <c r="G28" t="inlineStr">
        <is>
          <t>EI</t>
        </is>
      </c>
      <c r="H28" t="inlineStr"/>
      <c r="I28" t="inlineStr"/>
    </row>
    <row r="29">
      <c r="A29" t="n">
        <v>1</v>
      </c>
      <c r="B29" t="inlineStr">
        <is>
          <t>MgSO4</t>
        </is>
      </c>
      <c r="C29" t="n">
        <v>0.1363195648550297</v>
      </c>
      <c r="D29" t="n">
        <v>0.8940748997674053</v>
      </c>
      <c r="E29" t="n">
        <v>0.3792696496792186</v>
      </c>
      <c r="F29" t="inlineStr">
        <is>
          <t>RBF</t>
        </is>
      </c>
      <c r="G29" t="inlineStr">
        <is>
          <t>PI</t>
        </is>
      </c>
      <c r="H29" t="inlineStr"/>
      <c r="I29" t="inlineStr"/>
    </row>
    <row r="30">
      <c r="A30" t="n">
        <v>1</v>
      </c>
      <c r="B30" t="inlineStr">
        <is>
          <t>Zn(NO3)2</t>
        </is>
      </c>
      <c r="C30" t="n">
        <v>0.2302193949389531</v>
      </c>
      <c r="D30" t="n">
        <v>1.29565399213423</v>
      </c>
      <c r="E30" t="n">
        <v>0.2562450201388758</v>
      </c>
      <c r="F30" t="inlineStr">
        <is>
          <t>RBF</t>
        </is>
      </c>
      <c r="G30" t="inlineStr">
        <is>
          <t>LCB_low</t>
        </is>
      </c>
      <c r="H30" t="inlineStr"/>
      <c r="I30" t="inlineStr"/>
    </row>
    <row r="31">
      <c r="A31" t="n">
        <v>1</v>
      </c>
      <c r="B31" t="inlineStr">
        <is>
          <t>MgCl2</t>
        </is>
      </c>
      <c r="C31" t="n">
        <v>0.8685198052745662</v>
      </c>
      <c r="D31" t="n">
        <v>1.166586641567918</v>
      </c>
      <c r="E31" t="n">
        <v>0.2049837446014613</v>
      </c>
      <c r="F31" t="inlineStr">
        <is>
          <t>RBF</t>
        </is>
      </c>
      <c r="G31" t="inlineStr">
        <is>
          <t>LCB_med</t>
        </is>
      </c>
      <c r="H31" t="inlineStr"/>
      <c r="I31" t="inlineStr"/>
    </row>
    <row r="32">
      <c r="A32" t="n">
        <v>1</v>
      </c>
      <c r="B32" t="inlineStr">
        <is>
          <t>Zn(NO3)2</t>
        </is>
      </c>
      <c r="C32" t="n">
        <v>0.1138643833640502</v>
      </c>
      <c r="D32" t="n">
        <v>0.8291460546162672</v>
      </c>
      <c r="E32" t="n">
        <v>0.09861819007618718</v>
      </c>
      <c r="F32" t="inlineStr">
        <is>
          <t>RBF</t>
        </is>
      </c>
      <c r="G32" t="inlineStr">
        <is>
          <t>LCB_high</t>
        </is>
      </c>
      <c r="H32" t="inlineStr"/>
      <c r="I3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4"/>
  <sheetViews>
    <sheetView workbookViewId="0">
      <selection activeCell="A6" sqref="A6:XFD6"/>
    </sheetView>
  </sheetViews>
  <sheetFormatPr baseColWidth="8" defaultRowHeight="14.4"/>
  <cols>
    <col width="9" bestFit="1" customWidth="1" min="2" max="2"/>
    <col width="6" bestFit="1" customWidth="1" min="3" max="3"/>
    <col width="7.33203125" bestFit="1" customWidth="1" min="4" max="4"/>
    <col width="15.5546875" bestFit="1" customWidth="1" min="5" max="5"/>
    <col width="14.5546875" bestFit="1" customWidth="1" min="6" max="6"/>
    <col width="13.88671875" bestFit="1" customWidth="1" min="8" max="8"/>
    <col width="6.5546875" bestFit="1" customWidth="1" min="9" max="9"/>
  </cols>
  <sheetData>
    <row r="1" ht="15" customHeight="1" thickBot="1"/>
    <row r="2" ht="29.4" customHeight="1" thickBot="1">
      <c r="B2" s="1" t="inlineStr">
        <is>
          <t>Sali</t>
        </is>
      </c>
      <c r="C2" s="2" t="inlineStr">
        <is>
          <t>n°H2O</t>
        </is>
      </c>
      <c r="D2" s="3" t="inlineStr">
        <is>
          <t>MM
(g/mol)</t>
        </is>
      </c>
      <c r="E2" s="3" t="inlineStr">
        <is>
          <t>Solubility
(g/100g of water)</t>
        </is>
      </c>
      <c r="F2" s="4" t="inlineStr">
        <is>
          <t>Solubility
(kg/kg of water)</t>
        </is>
      </c>
      <c r="H2" s="5" t="inlineStr">
        <is>
          <t>Conversioni</t>
        </is>
      </c>
      <c r="I2" s="6" t="inlineStr">
        <is>
          <t>Valore</t>
        </is>
      </c>
    </row>
    <row r="3">
      <c r="B3" s="7" t="inlineStr">
        <is>
          <t>-</t>
        </is>
      </c>
      <c r="C3" s="8" t="inlineStr">
        <is>
          <t>-</t>
        </is>
      </c>
      <c r="D3" s="9" t="inlineStr">
        <is>
          <t>-</t>
        </is>
      </c>
      <c r="E3" s="10" t="inlineStr">
        <is>
          <t>-</t>
        </is>
      </c>
      <c r="F3" s="11" t="inlineStr">
        <is>
          <t>-</t>
        </is>
      </c>
      <c r="H3" s="12" t="inlineStr">
        <is>
          <t>g to kg</t>
        </is>
      </c>
      <c r="I3" s="13" t="n">
        <v>0.001</v>
      </c>
    </row>
    <row r="4" ht="16.2" customHeight="1" thickBot="1">
      <c r="B4" s="14" t="inlineStr">
        <is>
          <t>Al2(SO4)3</t>
        </is>
      </c>
      <c r="C4" s="15" t="n">
        <v>18</v>
      </c>
      <c r="D4" s="16" t="n">
        <v>342.15</v>
      </c>
      <c r="E4" s="17" t="n">
        <v>74.98853137942021</v>
      </c>
      <c r="F4" s="18">
        <f>E4*$I$4</f>
        <v/>
      </c>
      <c r="H4" s="19" t="inlineStr">
        <is>
          <t>g/100g to kg/kg</t>
        </is>
      </c>
      <c r="I4" s="20" t="n">
        <v>0.01</v>
      </c>
    </row>
    <row r="5" ht="15.6" customHeight="1">
      <c r="B5" s="14" t="inlineStr">
        <is>
          <t>CaCl2</t>
        </is>
      </c>
      <c r="C5" s="15" t="n">
        <v>2</v>
      </c>
      <c r="D5" s="16" t="n">
        <v>110.98</v>
      </c>
      <c r="E5" s="17" t="n">
        <v>107.6940775246882</v>
      </c>
      <c r="F5" s="18">
        <f>E5*$I$4</f>
        <v/>
      </c>
    </row>
    <row r="6" ht="15.6" customHeight="1">
      <c r="B6" s="14" t="inlineStr">
        <is>
          <t>CuSO4</t>
        </is>
      </c>
      <c r="C6" s="15" t="n">
        <v>5</v>
      </c>
      <c r="D6" s="16" t="n">
        <v>159.609</v>
      </c>
      <c r="E6" s="17" t="n">
        <v>34.4157910894749</v>
      </c>
      <c r="F6" s="18">
        <f>E6*$I$4</f>
        <v/>
      </c>
    </row>
    <row r="7" ht="15.6" customHeight="1">
      <c r="B7" s="14" t="inlineStr">
        <is>
          <t>K2CO3</t>
        </is>
      </c>
      <c r="C7" s="15" t="n">
        <v>1.5</v>
      </c>
      <c r="D7" s="16" t="n">
        <v>138.2</v>
      </c>
      <c r="E7" s="17" t="n">
        <v>132.7034933360346</v>
      </c>
      <c r="F7" s="18">
        <f>E7*$I$4</f>
        <v/>
      </c>
    </row>
    <row r="8" ht="15.6" customHeight="1">
      <c r="B8" s="14" t="inlineStr">
        <is>
          <t>KAl(SO4)2</t>
        </is>
      </c>
      <c r="C8" s="15" t="n">
        <v>12</v>
      </c>
      <c r="D8" s="16" t="n">
        <v>258.206</v>
      </c>
      <c r="E8" s="17" t="n">
        <v>10.83981758680119</v>
      </c>
      <c r="F8" s="18">
        <f>E8*$I$4</f>
        <v/>
      </c>
    </row>
    <row r="9">
      <c r="B9" s="14" t="inlineStr">
        <is>
          <t>LiCl</t>
        </is>
      </c>
      <c r="C9" s="15" t="n">
        <v>1</v>
      </c>
      <c r="D9" s="16" t="n">
        <v>42.418</v>
      </c>
      <c r="E9" s="17" t="n">
        <v>120.4076166438647</v>
      </c>
      <c r="F9" s="18">
        <f>E9*$I$4</f>
        <v/>
      </c>
    </row>
    <row r="10" ht="15.6" customHeight="1">
      <c r="B10" s="14" t="inlineStr">
        <is>
          <t>Mg(NO3)2</t>
        </is>
      </c>
      <c r="C10" s="15" t="n">
        <v>6</v>
      </c>
      <c r="D10" s="16" t="n">
        <v>148.313</v>
      </c>
      <c r="E10" s="17" t="n">
        <v>123.090923311353</v>
      </c>
      <c r="F10" s="18">
        <f>E10*$I$4</f>
        <v/>
      </c>
    </row>
    <row r="11" ht="15.6" customHeight="1">
      <c r="B11" s="14" t="inlineStr">
        <is>
          <t>MgCl2</t>
        </is>
      </c>
      <c r="C11" s="15" t="n">
        <v>6</v>
      </c>
      <c r="D11" s="16" t="n">
        <v>95.20699999999999</v>
      </c>
      <c r="E11" s="17" t="n">
        <v>119.5755952568506</v>
      </c>
      <c r="F11" s="18">
        <f>E11*$I$4</f>
        <v/>
      </c>
    </row>
    <row r="12" ht="15.6" customHeight="1">
      <c r="B12" s="14" t="inlineStr">
        <is>
          <t>MgSO4</t>
        </is>
      </c>
      <c r="C12" s="15" t="n">
        <v>7</v>
      </c>
      <c r="D12" s="16" t="n">
        <v>120.37</v>
      </c>
      <c r="E12" s="17" t="n">
        <v>73.10183603615579</v>
      </c>
      <c r="F12" s="18">
        <f>E12*$I$4</f>
        <v/>
      </c>
    </row>
    <row r="13" ht="15.6" customHeight="1">
      <c r="B13" s="14" t="inlineStr">
        <is>
          <t>SrBr2</t>
        </is>
      </c>
      <c r="C13" s="15" t="n">
        <v>6</v>
      </c>
      <c r="D13" s="16" t="n">
        <v>247.43</v>
      </c>
      <c r="E13" s="17" t="n">
        <v>153.743038435113</v>
      </c>
      <c r="F13" s="18">
        <f>E13*$I$4</f>
        <v/>
      </c>
    </row>
    <row r="14" ht="16.2" customHeight="1" thickBot="1">
      <c r="B14" s="21" t="inlineStr">
        <is>
          <t>Zn(NO3)2</t>
        </is>
      </c>
      <c r="C14" s="22" t="n">
        <v>6</v>
      </c>
      <c r="D14" s="23" t="n">
        <v>189.39</v>
      </c>
      <c r="E14" s="24" t="n">
        <v>188.4783917051178</v>
      </c>
      <c r="F14" s="25">
        <f>E14*$I$4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Alessio Mondello</dc:creator>
  <dcterms:created xsi:type="dcterms:W3CDTF">2015-06-05T18:17:20Z</dcterms:created>
  <dcterms:modified xsi:type="dcterms:W3CDTF">2025-03-02T12:03:44Z</dcterms:modified>
  <cp:lastModifiedBy>Giulio  Barletta</cp:lastModifiedBy>
</cp:coreProperties>
</file>