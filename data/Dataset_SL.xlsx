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politoit-my.sharepoint.com/personal/giulio_barletta_polito_it/Documents/Documents/Università/PhD/CementBOpt/data/"/>
    </mc:Choice>
  </mc:AlternateContent>
  <xr:revisionPtr revIDLastSave="1" documentId="11_DADDEF57672E05AE3DC4A5F432B7CA5597D82604" xr6:coauthVersionLast="47" xr6:coauthVersionMax="47" xr10:uidLastSave="{5ACD7F0C-FCA1-452C-969C-218CE105F1B7}"/>
  <bookViews>
    <workbookView xWindow="-108" yWindow="-108" windowWidth="23256" windowHeight="12456" xr2:uid="{00000000-000D-0000-FFFF-FFFF00000000}"/>
  </bookViews>
  <sheets>
    <sheet name="Datasheet" sheetId="1" r:id="rId1"/>
    <sheet name="Solubilit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F13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<sst xmlns="http://schemas.openxmlformats.org/spreadsheetml/2006/main" count="57" uniqueCount="31">
  <si>
    <t>opt_round</t>
  </si>
  <si>
    <t>salt</t>
  </si>
  <si>
    <t>salt_concentration</t>
  </si>
  <si>
    <t>water_to_cement_ratio</t>
  </si>
  <si>
    <t>antisettling_concentration</t>
  </si>
  <si>
    <t>kernel</t>
  </si>
  <si>
    <t>acquisition</t>
  </si>
  <si>
    <t>obj_func</t>
  </si>
  <si>
    <t>E_d</t>
  </si>
  <si>
    <t>KPI</t>
  </si>
  <si>
    <t>MgSO4</t>
  </si>
  <si>
    <t>CaCl2</t>
  </si>
  <si>
    <t>SrBr2</t>
  </si>
  <si>
    <t>MgCl2</t>
  </si>
  <si>
    <t>CuSO4</t>
  </si>
  <si>
    <t>Al2(SO4)3</t>
  </si>
  <si>
    <t>K2CO3</t>
  </si>
  <si>
    <t>KAl(SO4)2</t>
  </si>
  <si>
    <t>LiCl</t>
  </si>
  <si>
    <t>Mg(NO3)2</t>
  </si>
  <si>
    <t>Zn(NO3)2</t>
  </si>
  <si>
    <t>Sali</t>
  </si>
  <si>
    <t>n°H2O</t>
  </si>
  <si>
    <t>MM
(g/mol)</t>
  </si>
  <si>
    <t>Solubility
(g/100g of water)</t>
  </si>
  <si>
    <t>Solubility
(kg/kg of water)</t>
  </si>
  <si>
    <t>Conversioni</t>
  </si>
  <si>
    <t>Valore</t>
  </si>
  <si>
    <t>-</t>
  </si>
  <si>
    <t>g to kg</t>
  </si>
  <si>
    <t>g/100g to kg/kg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</si>
</sst>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164" fontId="0" fillId="0" borderId="9" xfId="0" applyNumberFormat="1" applyBorder="1" applyAlignment="1">
      <alignment horizontal="right" vertical="center"/>
    </xf>
    <xf numFmtId="165" fontId="0" fillId="0" borderId="9" xfId="0" applyNumberFormat="1" applyBorder="1" applyAlignment="1">
      <alignment horizontal="right" vertical="center"/>
    </xf>
    <xf numFmtId="165" fontId="0" fillId="0" borderId="10" xfId="0" applyNumberFormat="1" applyBorder="1" applyAlignment="1">
      <alignment horizontal="right" vertical="center"/>
    </xf>
    <xf numFmtId="0" fontId="2" fillId="0" borderId="11" xfId="0" applyFont="1" applyBorder="1"/>
    <xf numFmtId="0" fontId="0" fillId="0" borderId="1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2" fontId="1" fillId="0" borderId="15" xfId="0" applyNumberFormat="1" applyFont="1" applyBorder="1"/>
    <xf numFmtId="165" fontId="0" fillId="0" borderId="16" xfId="0" applyNumberFormat="1" applyBorder="1" applyAlignment="1">
      <alignment horizontal="right" vertical="center"/>
    </xf>
    <xf numFmtId="0" fontId="0" fillId="0" borderId="17" xfId="0" applyBorder="1"/>
    <xf numFmtId="2" fontId="0" fillId="0" borderId="18" xfId="0" applyNumberFormat="1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right" vertical="center"/>
    </xf>
    <xf numFmtId="164" fontId="0" fillId="0" borderId="21" xfId="0" applyNumberFormat="1" applyBorder="1" applyAlignment="1">
      <alignment horizontal="right" vertical="center"/>
    </xf>
    <xf numFmtId="2" fontId="1" fillId="0" borderId="21" xfId="0" applyNumberFormat="1" applyFont="1" applyBorder="1"/>
    <xf numFmtId="165" fontId="0" fillId="0" borderId="22" xfId="0" applyNumberFormat="1" applyBorder="1" applyAlignment="1">
      <alignment horizontal="right" vertical="center"/>
    </xf>
    <xf numFmtId="0" fontId="3" fillId="0" borderId="23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topLeftCell="A19" workbookViewId="0">
      <selection activeCell="H43" sqref="A24:H43"/>
    </sheetView>
  </sheetViews>
  <sheetFormatPr defaultRowHeight="14.4" x14ac:dyDescent="0.3"/>
  <sheetData>
    <row r="1" spans="1:10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spans="1:10" x14ac:dyDescent="0.3">
      <c r="A2">
        <v>0</v>
      </c>
      <c r="B2" t="s">
        <v>10</v>
      </c>
      <c r="C2">
        <v>0.5</v>
      </c>
      <c r="D2">
        <v>1</v>
      </c>
      <c r="E2">
        <v>0</v>
      </c>
      <c r="I2">
        <v>27.76464008135753</v>
      </c>
      <c r="J2">
        <v>9.5978431090469236</v>
      </c>
    </row>
    <row r="3" spans="1:10" x14ac:dyDescent="0.3">
      <c r="A3">
        <v>0</v>
      </c>
      <c r="B3" t="s">
        <v>11</v>
      </c>
      <c r="C3">
        <v>0.5</v>
      </c>
      <c r="D3">
        <v>1</v>
      </c>
      <c r="E3">
        <v>0</v>
      </c>
      <c r="I3">
        <v>87.715788160011527</v>
      </c>
      <c r="J3">
        <v>2.5197321053333548</v>
      </c>
    </row>
    <row r="4" spans="1:10" x14ac:dyDescent="0.3">
      <c r="A4">
        <v>0</v>
      </c>
      <c r="B4" t="s">
        <v>12</v>
      </c>
      <c r="C4">
        <v>0.5</v>
      </c>
      <c r="D4">
        <v>1</v>
      </c>
      <c r="E4">
        <v>0</v>
      </c>
      <c r="I4">
        <v>95.547175655699988</v>
      </c>
      <c r="J4">
        <v>53.682419230327291</v>
      </c>
    </row>
    <row r="5" spans="1:10" x14ac:dyDescent="0.3">
      <c r="A5">
        <v>0</v>
      </c>
      <c r="B5" t="s">
        <v>13</v>
      </c>
      <c r="C5">
        <v>0.5</v>
      </c>
      <c r="D5">
        <v>1</v>
      </c>
      <c r="E5">
        <v>0</v>
      </c>
      <c r="I5">
        <v>82.071085878531235</v>
      </c>
      <c r="J5">
        <v>2.9337491876323938</v>
      </c>
    </row>
    <row r="6" spans="1:10" x14ac:dyDescent="0.3">
      <c r="A6">
        <v>0</v>
      </c>
      <c r="B6" t="s">
        <v>14</v>
      </c>
      <c r="C6">
        <v>0.5</v>
      </c>
      <c r="D6">
        <v>1</v>
      </c>
      <c r="E6">
        <v>0</v>
      </c>
      <c r="I6">
        <v>5.9542098754523893</v>
      </c>
      <c r="J6">
        <v>100.2123027830948</v>
      </c>
    </row>
    <row r="7" spans="1:10" x14ac:dyDescent="0.3">
      <c r="A7">
        <v>0</v>
      </c>
      <c r="B7" t="s">
        <v>15</v>
      </c>
      <c r="C7">
        <v>0.5</v>
      </c>
      <c r="D7">
        <v>1</v>
      </c>
      <c r="E7">
        <v>0</v>
      </c>
      <c r="I7">
        <v>14.94408854434419</v>
      </c>
      <c r="J7">
        <v>15.671044305531961</v>
      </c>
    </row>
    <row r="8" spans="1:10" x14ac:dyDescent="0.3">
      <c r="A8">
        <v>0</v>
      </c>
      <c r="B8" t="s">
        <v>16</v>
      </c>
      <c r="C8">
        <v>0.5</v>
      </c>
      <c r="D8">
        <v>1</v>
      </c>
      <c r="E8">
        <v>0</v>
      </c>
      <c r="I8">
        <v>23.614709633964889</v>
      </c>
      <c r="J8">
        <v>38.117562081239328</v>
      </c>
    </row>
    <row r="9" spans="1:10" x14ac:dyDescent="0.3">
      <c r="A9">
        <v>0</v>
      </c>
      <c r="B9" t="s">
        <v>17</v>
      </c>
      <c r="C9">
        <v>0.5</v>
      </c>
      <c r="D9">
        <v>1</v>
      </c>
      <c r="E9">
        <v>0</v>
      </c>
      <c r="I9">
        <v>26.974858653958531</v>
      </c>
      <c r="J9">
        <v>7.5045536728499709</v>
      </c>
    </row>
    <row r="10" spans="1:10" x14ac:dyDescent="0.3">
      <c r="A10">
        <v>0</v>
      </c>
      <c r="B10" t="s">
        <v>18</v>
      </c>
      <c r="C10">
        <v>0.5</v>
      </c>
      <c r="D10">
        <v>1</v>
      </c>
      <c r="E10">
        <v>0</v>
      </c>
      <c r="I10">
        <v>158.3877238516921</v>
      </c>
      <c r="J10">
        <v>53.47699756748262</v>
      </c>
    </row>
    <row r="11" spans="1:10" x14ac:dyDescent="0.3">
      <c r="A11">
        <v>0</v>
      </c>
      <c r="B11" t="s">
        <v>19</v>
      </c>
      <c r="C11">
        <v>0.5</v>
      </c>
      <c r="D11">
        <v>1</v>
      </c>
      <c r="E11">
        <v>0</v>
      </c>
      <c r="I11">
        <v>55.930892642864613</v>
      </c>
      <c r="J11">
        <v>9.326240001973801</v>
      </c>
    </row>
    <row r="12" spans="1:10" x14ac:dyDescent="0.3">
      <c r="A12">
        <v>0</v>
      </c>
      <c r="B12" t="s">
        <v>20</v>
      </c>
      <c r="C12">
        <v>0.5</v>
      </c>
      <c r="D12">
        <v>1</v>
      </c>
      <c r="E12">
        <v>0</v>
      </c>
      <c r="I12">
        <v>69.053644243266504</v>
      </c>
      <c r="J12">
        <v>14.33114331462785</v>
      </c>
    </row>
    <row r="13" spans="1:10" x14ac:dyDescent="0.3">
      <c r="A13">
        <v>0</v>
      </c>
      <c r="B13" t="s">
        <v>10</v>
      </c>
      <c r="C13">
        <v>0.7</v>
      </c>
      <c r="D13">
        <v>1.5</v>
      </c>
      <c r="E13">
        <v>0.2</v>
      </c>
      <c r="I13">
        <v>22.524587073488661</v>
      </c>
      <c r="J13">
        <v>13.12528102905538</v>
      </c>
    </row>
    <row r="14" spans="1:10" x14ac:dyDescent="0.3">
      <c r="A14">
        <v>0</v>
      </c>
      <c r="B14" t="s">
        <v>11</v>
      </c>
      <c r="C14">
        <v>0.8</v>
      </c>
      <c r="D14">
        <v>1</v>
      </c>
      <c r="E14">
        <v>3</v>
      </c>
      <c r="I14">
        <v>129.35196591732469</v>
      </c>
      <c r="J14">
        <v>3.5434888891705252</v>
      </c>
    </row>
    <row r="15" spans="1:10" x14ac:dyDescent="0.3">
      <c r="A15">
        <v>0</v>
      </c>
      <c r="B15" t="s">
        <v>12</v>
      </c>
      <c r="C15">
        <v>0.4</v>
      </c>
      <c r="D15">
        <v>0.7</v>
      </c>
      <c r="E15">
        <v>2</v>
      </c>
      <c r="I15">
        <v>55.495031811560402</v>
      </c>
      <c r="J15">
        <v>71.609620084760351</v>
      </c>
    </row>
    <row r="16" spans="1:10" x14ac:dyDescent="0.3">
      <c r="A16">
        <v>0</v>
      </c>
      <c r="B16" t="s">
        <v>13</v>
      </c>
      <c r="C16">
        <v>0.6</v>
      </c>
      <c r="D16">
        <v>0.9</v>
      </c>
      <c r="E16">
        <v>1.2</v>
      </c>
      <c r="I16">
        <v>80.774071448437738</v>
      </c>
      <c r="J16">
        <v>4.3786299124672254</v>
      </c>
    </row>
    <row r="17" spans="1:10" x14ac:dyDescent="0.3">
      <c r="A17">
        <v>0</v>
      </c>
      <c r="B17" t="s">
        <v>14</v>
      </c>
      <c r="C17">
        <v>0.9</v>
      </c>
      <c r="D17">
        <v>1</v>
      </c>
      <c r="E17">
        <v>0.6</v>
      </c>
      <c r="I17">
        <v>7.3853104778701368</v>
      </c>
      <c r="J17">
        <v>126.7843844292079</v>
      </c>
    </row>
    <row r="18" spans="1:10" x14ac:dyDescent="0.3">
      <c r="A18">
        <v>0</v>
      </c>
      <c r="B18" t="s">
        <v>15</v>
      </c>
      <c r="C18">
        <v>0.8</v>
      </c>
      <c r="D18">
        <v>1.1000000000000001</v>
      </c>
      <c r="E18">
        <v>0.4</v>
      </c>
      <c r="I18">
        <v>17.117515941558722</v>
      </c>
      <c r="J18">
        <v>16.633126048282751</v>
      </c>
    </row>
    <row r="19" spans="1:10" x14ac:dyDescent="0.3">
      <c r="A19">
        <v>0</v>
      </c>
      <c r="B19" t="s">
        <v>16</v>
      </c>
      <c r="C19">
        <v>0.5</v>
      </c>
      <c r="D19">
        <v>0.8</v>
      </c>
      <c r="E19">
        <v>1.5</v>
      </c>
      <c r="I19">
        <v>14.7915891797622</v>
      </c>
      <c r="J19">
        <v>66.701693031781303</v>
      </c>
    </row>
    <row r="20" spans="1:10" x14ac:dyDescent="0.3">
      <c r="A20">
        <v>0</v>
      </c>
      <c r="B20" t="s">
        <v>17</v>
      </c>
      <c r="C20">
        <v>0.9</v>
      </c>
      <c r="D20">
        <v>1.4</v>
      </c>
      <c r="E20">
        <v>0.8</v>
      </c>
      <c r="I20">
        <v>21.46507753650409</v>
      </c>
      <c r="J20">
        <v>12.188863439062491</v>
      </c>
    </row>
    <row r="21" spans="1:10" x14ac:dyDescent="0.3">
      <c r="A21">
        <v>0</v>
      </c>
      <c r="B21" t="s">
        <v>18</v>
      </c>
      <c r="C21">
        <v>0.1</v>
      </c>
      <c r="D21">
        <v>0.7</v>
      </c>
      <c r="E21">
        <v>2.5</v>
      </c>
      <c r="I21">
        <v>43.940096418249887</v>
      </c>
      <c r="J21">
        <v>49.642304553881772</v>
      </c>
    </row>
    <row r="22" spans="1:10" x14ac:dyDescent="0.3">
      <c r="A22">
        <v>0</v>
      </c>
      <c r="B22" t="s">
        <v>19</v>
      </c>
      <c r="C22">
        <v>0.2</v>
      </c>
      <c r="D22">
        <v>1.3</v>
      </c>
      <c r="E22">
        <v>1.7</v>
      </c>
      <c r="I22">
        <v>38.822344104530018</v>
      </c>
      <c r="J22">
        <v>12.258518846226419</v>
      </c>
    </row>
    <row r="23" spans="1:10" x14ac:dyDescent="0.3">
      <c r="A23">
        <v>0</v>
      </c>
      <c r="B23" t="s">
        <v>20</v>
      </c>
      <c r="C23">
        <v>0.3</v>
      </c>
      <c r="D23">
        <v>1.2</v>
      </c>
      <c r="E23">
        <v>2.2000000000000002</v>
      </c>
      <c r="I23">
        <v>42.970217278938733</v>
      </c>
      <c r="J23">
        <v>21.468989660972898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4"/>
  <sheetViews>
    <sheetView workbookViewId="0">
      <selection activeCell="A6" sqref="A6:XFD6"/>
    </sheetView>
  </sheetViews>
  <sheetFormatPr defaultRowHeight="14.4" x14ac:dyDescent="0.3"/>
  <cols>
    <col min="2" max="2" width="9" bestFit="1" customWidth="1"/>
    <col min="3" max="3" width="6" bestFit="1" customWidth="1"/>
    <col min="4" max="4" width="7.33203125" bestFit="1" customWidth="1"/>
    <col min="5" max="5" width="15.5546875" bestFit="1" customWidth="1"/>
    <col min="6" max="6" width="14.5546875" bestFit="1" customWidth="1"/>
    <col min="8" max="8" width="13.88671875" bestFit="1" customWidth="1"/>
    <col min="9" max="9" width="6.5546875" bestFit="1" customWidth="1"/>
  </cols>
  <sheetData>
    <row r="1" spans="2:9" ht="15" customHeight="1" thickBot="1" x14ac:dyDescent="0.35"/>
    <row r="2" spans="2:9" ht="29.4" customHeight="1" thickBot="1" x14ac:dyDescent="0.35">
      <c r="B2" s="1" t="s">
        <v>21</v>
      </c>
      <c r="C2" s="2" t="s">
        <v>22</v>
      </c>
      <c r="D2" s="3" t="s">
        <v>23</v>
      </c>
      <c r="E2" s="3" t="s">
        <v>24</v>
      </c>
      <c r="F2" s="4" t="s">
        <v>25</v>
      </c>
      <c r="H2" s="5" t="s">
        <v>26</v>
      </c>
      <c r="I2" s="6" t="s">
        <v>27</v>
      </c>
    </row>
    <row r="3" spans="2:9" x14ac:dyDescent="0.3">
      <c r="B3" s="7" t="s">
        <v>28</v>
      </c>
      <c r="C3" s="8" t="s">
        <v>28</v>
      </c>
      <c r="D3" s="9" t="s">
        <v>28</v>
      </c>
      <c r="E3" s="10" t="s">
        <v>28</v>
      </c>
      <c r="F3" s="11" t="s">
        <v>28</v>
      </c>
      <c r="H3" s="12" t="s">
        <v>29</v>
      </c>
      <c r="I3" s="13">
        <v>1E-3</v>
      </c>
    </row>
    <row r="4" spans="2:9" ht="16.2" customHeight="1" thickBot="1" x14ac:dyDescent="0.35">
      <c r="B4" s="14" t="s">
        <v>15</v>
      </c>
      <c r="C4" s="15">
        <v>18</v>
      </c>
      <c r="D4" s="16">
        <v>342.15</v>
      </c>
      <c r="E4" s="17">
        <v>74.988531379420209</v>
      </c>
      <c r="F4" s="18">
        <f t="shared" ref="F4:F14" si="0">E4*$I$4</f>
        <v>0.74988531379420209</v>
      </c>
      <c r="H4" s="19" t="s">
        <v>30</v>
      </c>
      <c r="I4" s="20">
        <v>0.01</v>
      </c>
    </row>
    <row r="5" spans="2:9" ht="15.6" customHeight="1" x14ac:dyDescent="0.3">
      <c r="B5" s="14" t="s">
        <v>11</v>
      </c>
      <c r="C5" s="15">
        <v>2</v>
      </c>
      <c r="D5" s="16">
        <v>110.98</v>
      </c>
      <c r="E5" s="17">
        <v>107.6940775246882</v>
      </c>
      <c r="F5" s="18">
        <f t="shared" si="0"/>
        <v>1.076940775246882</v>
      </c>
    </row>
    <row r="6" spans="2:9" ht="15.6" customHeight="1" x14ac:dyDescent="0.3">
      <c r="B6" s="14" t="s">
        <v>14</v>
      </c>
      <c r="C6" s="15">
        <v>5</v>
      </c>
      <c r="D6" s="16">
        <v>159.60900000000001</v>
      </c>
      <c r="E6" s="17">
        <v>34.415791089474901</v>
      </c>
      <c r="F6" s="18">
        <f t="shared" si="0"/>
        <v>0.34415791089474901</v>
      </c>
    </row>
    <row r="7" spans="2:9" ht="15.6" customHeight="1" x14ac:dyDescent="0.3">
      <c r="B7" s="14" t="s">
        <v>16</v>
      </c>
      <c r="C7" s="15">
        <v>1.5</v>
      </c>
      <c r="D7" s="16">
        <v>138.19999999999999</v>
      </c>
      <c r="E7" s="17">
        <v>132.7034933360346</v>
      </c>
      <c r="F7" s="18">
        <f t="shared" si="0"/>
        <v>1.3270349333603459</v>
      </c>
    </row>
    <row r="8" spans="2:9" ht="15.6" customHeight="1" x14ac:dyDescent="0.3">
      <c r="B8" s="14" t="s">
        <v>17</v>
      </c>
      <c r="C8" s="15">
        <v>12</v>
      </c>
      <c r="D8" s="16">
        <v>258.20600000000002</v>
      </c>
      <c r="E8" s="17">
        <v>10.839817586801191</v>
      </c>
      <c r="F8" s="18">
        <f t="shared" si="0"/>
        <v>0.10839817586801191</v>
      </c>
    </row>
    <row r="9" spans="2:9" x14ac:dyDescent="0.3">
      <c r="B9" s="14" t="s">
        <v>18</v>
      </c>
      <c r="C9" s="15">
        <v>1</v>
      </c>
      <c r="D9" s="16">
        <v>42.417999999999999</v>
      </c>
      <c r="E9" s="17">
        <v>120.4076166438647</v>
      </c>
      <c r="F9" s="18">
        <f t="shared" si="0"/>
        <v>1.204076166438647</v>
      </c>
    </row>
    <row r="10" spans="2:9" ht="15.6" customHeight="1" x14ac:dyDescent="0.3">
      <c r="B10" s="14" t="s">
        <v>19</v>
      </c>
      <c r="C10" s="15">
        <v>6</v>
      </c>
      <c r="D10" s="16">
        <v>148.31299999999999</v>
      </c>
      <c r="E10" s="17">
        <v>123.090923311353</v>
      </c>
      <c r="F10" s="18">
        <f t="shared" si="0"/>
        <v>1.2309092331135301</v>
      </c>
    </row>
    <row r="11" spans="2:9" ht="15.6" customHeight="1" x14ac:dyDescent="0.3">
      <c r="B11" s="14" t="s">
        <v>13</v>
      </c>
      <c r="C11" s="15">
        <v>6</v>
      </c>
      <c r="D11" s="16">
        <v>95.206999999999994</v>
      </c>
      <c r="E11" s="17">
        <v>119.5755952568506</v>
      </c>
      <c r="F11" s="18">
        <f t="shared" si="0"/>
        <v>1.195755952568506</v>
      </c>
    </row>
    <row r="12" spans="2:9" ht="15.6" customHeight="1" x14ac:dyDescent="0.3">
      <c r="B12" s="14" t="s">
        <v>10</v>
      </c>
      <c r="C12" s="15">
        <v>7</v>
      </c>
      <c r="D12" s="16">
        <v>120.37</v>
      </c>
      <c r="E12" s="17">
        <v>73.101836036155788</v>
      </c>
      <c r="F12" s="18">
        <f t="shared" si="0"/>
        <v>0.73101836036155787</v>
      </c>
    </row>
    <row r="13" spans="2:9" ht="15.6" customHeight="1" x14ac:dyDescent="0.3">
      <c r="B13" s="14" t="s">
        <v>12</v>
      </c>
      <c r="C13" s="15">
        <v>6</v>
      </c>
      <c r="D13" s="16">
        <v>247.43</v>
      </c>
      <c r="E13" s="17">
        <v>153.74303843511299</v>
      </c>
      <c r="F13" s="18">
        <f t="shared" si="0"/>
        <v>1.5374303843511299</v>
      </c>
    </row>
    <row r="14" spans="2:9" ht="16.2" customHeight="1" thickBot="1" x14ac:dyDescent="0.35">
      <c r="B14" s="21" t="s">
        <v>20</v>
      </c>
      <c r="C14" s="22">
        <v>6</v>
      </c>
      <c r="D14" s="23">
        <v>189.39</v>
      </c>
      <c r="E14" s="24">
        <v>188.47839170511779</v>
      </c>
      <c r="F14" s="25">
        <f t="shared" si="0"/>
        <v>1.884783917051178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Datasheet</vt:lpstr>
      <vt:lpstr>Solubility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Mondello</dc:creator>
  <cp:lastModifiedBy>Giulio  Barletta</cp:lastModifiedBy>
  <dcterms:created xsi:type="dcterms:W3CDTF">2015-06-05T18:17:20Z</dcterms:created>
  <dcterms:modified xsi:type="dcterms:W3CDTF">2025-06-01T16:10:14Z</dcterms:modified>
</cp:coreProperties>
</file>