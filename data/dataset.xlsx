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litoit-my.sharepoint.com/personal/giulio_barletta_polito_it/Documents/Documents/Università/PhD/CementBOpt/data/"/>
    </mc:Choice>
  </mc:AlternateContent>
  <xr:revisionPtr revIDLastSave="13" documentId="13_ncr:1_{95FE3DA7-5369-4A5F-9AFF-B542E25255AB}" xr6:coauthVersionLast="47" xr6:coauthVersionMax="47" xr10:uidLastSave="{B95D690D-58A6-4D3F-BEE4-747A757969FB}"/>
  <bookViews>
    <workbookView xWindow="-108" yWindow="-108" windowWidth="23256" windowHeight="12456" activeTab="1" xr2:uid="{00000000-000D-0000-FFFF-FFFF00000000}"/>
  </bookViews>
  <sheets>
    <sheet name="Composite dataset" sheetId="1" r:id="rId1"/>
    <sheet name="Screening dataset" sheetId="4" r:id="rId2"/>
    <sheet name="Isotherm screening dataset" sheetId="3" r:id="rId3"/>
    <sheet name="Solubility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<sst xmlns="http://schemas.openxmlformats.org/spreadsheetml/2006/main" count="1163" uniqueCount="164">
  <si>
    <t>opt_round</t>
  </si>
  <si>
    <t>salt</t>
  </si>
  <si>
    <t>kernel</t>
  </si>
  <si>
    <t>acquisition</t>
  </si>
  <si>
    <t>obj_func</t>
  </si>
  <si>
    <t>n_rejected_before_accept</t>
  </si>
  <si>
    <t>E_d</t>
  </si>
  <si>
    <t>KPI</t>
  </si>
  <si>
    <t>Notes</t>
  </si>
  <si>
    <t>MgSO4</t>
  </si>
  <si>
    <t>CaCl2</t>
  </si>
  <si>
    <t>SrBr2</t>
  </si>
  <si>
    <t>MgCl2</t>
  </si>
  <si>
    <t>CuSO4</t>
  </si>
  <si>
    <t>Al2(SO4)3</t>
  </si>
  <si>
    <t>K2CO3</t>
  </si>
  <si>
    <t>KAl(SO4)2</t>
  </si>
  <si>
    <t>LiCl</t>
  </si>
  <si>
    <t>Mg(NO3)2</t>
  </si>
  <si>
    <t>Zn(NO3)2</t>
  </si>
  <si>
    <t>Matern</t>
  </si>
  <si>
    <t>EI</t>
  </si>
  <si>
    <t>PI</t>
  </si>
  <si>
    <t>LCB_low</t>
  </si>
  <si>
    <t>LCB_med</t>
  </si>
  <si>
    <t>LCB_high</t>
  </si>
  <si>
    <t>RBF</t>
  </si>
  <si>
    <t>n°H2O</t>
  </si>
  <si>
    <t>MM
(g/mol)</t>
  </si>
  <si>
    <t>Solubility
(g/100g of water)</t>
  </si>
  <si>
    <t>Solubility
(kg/kg of water)</t>
  </si>
  <si>
    <t>-</t>
  </si>
  <si>
    <t>g to kg</t>
  </si>
  <si>
    <t>g/100g to kg/kg</t>
  </si>
  <si>
    <t>composite name</t>
  </si>
  <si>
    <r>
      <t>Salt_concentration
(s/s</t>
    </r>
    <r>
      <rPr>
        <b/>
        <vertAlign val="subscript"/>
        <sz val="11"/>
        <rFont val="Calibri"/>
        <family val="2"/>
      </rPr>
      <t>max</t>
    </r>
    <r>
      <rPr>
        <b/>
        <sz val="11"/>
        <rFont val="Calibri"/>
        <family val="2"/>
      </rPr>
      <t>)
[kg/kg]</t>
    </r>
  </si>
  <si>
    <t>Water_to_cement_ratio
(w/c)
[kg/kg]</t>
  </si>
  <si>
    <t>antisettling_concentration
(a/c)
[g/kg]</t>
  </si>
  <si>
    <t>Key_performance_indicator
(KPI)
[USD/kWh]</t>
  </si>
  <si>
    <t>Penalized - synthesis failed</t>
  </si>
  <si>
    <t>Penalized -deliquescence</t>
  </si>
  <si>
    <t>MgS_1</t>
  </si>
  <si>
    <t>CuS_1</t>
  </si>
  <si>
    <t>SrB_1</t>
  </si>
  <si>
    <t>MgCl_1</t>
  </si>
  <si>
    <t>AlS_1</t>
  </si>
  <si>
    <t>KC_1</t>
  </si>
  <si>
    <t>KAlS_1</t>
  </si>
  <si>
    <t>LiCl_1</t>
  </si>
  <si>
    <t>MgN_1</t>
  </si>
  <si>
    <t>ZnN_1</t>
  </si>
  <si>
    <t>MgS_2</t>
  </si>
  <si>
    <t>CaCl_2</t>
  </si>
  <si>
    <t>SrB_2</t>
  </si>
  <si>
    <t>MgCl_2</t>
  </si>
  <si>
    <t>CuS_2</t>
  </si>
  <si>
    <t>AlS_2</t>
  </si>
  <si>
    <t>KC_2</t>
  </si>
  <si>
    <t>ZnN_3</t>
  </si>
  <si>
    <t>KAlS_4</t>
  </si>
  <si>
    <t>MgN_3</t>
  </si>
  <si>
    <t>KAlS_2</t>
  </si>
  <si>
    <t>ZnN_2</t>
  </si>
  <si>
    <t>MgN_2</t>
  </si>
  <si>
    <t>LiCl_2</t>
  </si>
  <si>
    <t>SrB_3</t>
  </si>
  <si>
    <t>MgCl_3</t>
  </si>
  <si>
    <t>MgCl_4</t>
  </si>
  <si>
    <t>LiCl_3</t>
  </si>
  <si>
    <t>LiCl_4</t>
  </si>
  <si>
    <t>MgCl_5</t>
  </si>
  <si>
    <t>LiCl_5</t>
  </si>
  <si>
    <t>MgCl_6</t>
  </si>
  <si>
    <t>LiCl_6</t>
  </si>
  <si>
    <t>MgCl_7</t>
  </si>
  <si>
    <t>ZnN_4</t>
  </si>
  <si>
    <t>KAlS_3</t>
  </si>
  <si>
    <t>KAlS_5</t>
  </si>
  <si>
    <t>CaCl_3</t>
  </si>
  <si>
    <t>KAlS_6</t>
  </si>
  <si>
    <t>MgCl_8</t>
  </si>
  <si>
    <t>KAlS_7</t>
  </si>
  <si>
    <t>MgCl_9</t>
  </si>
  <si>
    <t>CaCl_4</t>
  </si>
  <si>
    <t>LiCl_7</t>
  </si>
  <si>
    <t>CaCl_5</t>
  </si>
  <si>
    <t>MgN_4</t>
  </si>
  <si>
    <t>ZnN_6</t>
  </si>
  <si>
    <t>SrB_4</t>
  </si>
  <si>
    <t>LiCl_8</t>
  </si>
  <si>
    <t>CaCl_6</t>
  </si>
  <si>
    <t>ZnN_7</t>
  </si>
  <si>
    <t>KAlS_8</t>
  </si>
  <si>
    <t>MgCl_10</t>
  </si>
  <si>
    <t>MgCl_11</t>
  </si>
  <si>
    <t>AlS_3</t>
  </si>
  <si>
    <t>AlS_4</t>
  </si>
  <si>
    <t>MgS_3</t>
  </si>
  <si>
    <t>CaCl_7</t>
  </si>
  <si>
    <t>MgCl_12</t>
  </si>
  <si>
    <t>AlS_5</t>
  </si>
  <si>
    <t>LiCl_9</t>
  </si>
  <si>
    <t>LiCl_11</t>
  </si>
  <si>
    <t>LiCl_12</t>
  </si>
  <si>
    <t>SrB_5</t>
  </si>
  <si>
    <t>CuS_3</t>
  </si>
  <si>
    <t>LiCl_13</t>
  </si>
  <si>
    <t>LiCl_14</t>
  </si>
  <si>
    <t>CaCl_8</t>
  </si>
  <si>
    <t>CaCl_9</t>
  </si>
  <si>
    <t>MgCl_13</t>
  </si>
  <si>
    <t>MgCl_14</t>
  </si>
  <si>
    <t>MgCl_15</t>
  </si>
  <si>
    <t>CaCl_10</t>
  </si>
  <si>
    <t>ZnN_8</t>
  </si>
  <si>
    <t>ZnN_9</t>
  </si>
  <si>
    <t>MgCl_16</t>
  </si>
  <si>
    <t>MgN_5</t>
  </si>
  <si>
    <t>KAlS_9</t>
  </si>
  <si>
    <t>ZnN_10</t>
  </si>
  <si>
    <t>LiCl_15</t>
  </si>
  <si>
    <t>CaCl_11</t>
  </si>
  <si>
    <t>ZnN_11</t>
  </si>
  <si>
    <t>LiCl_16</t>
  </si>
  <si>
    <t>LiCl_17</t>
  </si>
  <si>
    <t>MgCl_17</t>
  </si>
  <si>
    <t>CaCl_13</t>
  </si>
  <si>
    <t>LiCl_18</t>
  </si>
  <si>
    <t>LiCl_19</t>
  </si>
  <si>
    <t>CaCl_14</t>
  </si>
  <si>
    <t>ZnN_12</t>
  </si>
  <si>
    <t>CaCl_15</t>
  </si>
  <si>
    <t>KAlS_10</t>
  </si>
  <si>
    <t>ZnN_13</t>
  </si>
  <si>
    <t>MgCl_18</t>
  </si>
  <si>
    <t>MgS_4</t>
  </si>
  <si>
    <t>MgCl_19</t>
  </si>
  <si>
    <t>ZnN_14</t>
  </si>
  <si>
    <r>
      <t>Zn(NO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-S1</t>
    </r>
  </si>
  <si>
    <t>LiCl_S1</t>
  </si>
  <si>
    <r>
      <t>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-S2</t>
    </r>
  </si>
  <si>
    <r>
      <t>Zn(NO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-S2</t>
    </r>
  </si>
  <si>
    <r>
      <t>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-S1</t>
    </r>
  </si>
  <si>
    <t>Composite name</t>
  </si>
  <si>
    <t>RH%</t>
  </si>
  <si>
    <t>CaCl2-S1</t>
  </si>
  <si>
    <t>CaCl2-S2</t>
  </si>
  <si>
    <t>Zn(NO3)2-S1</t>
  </si>
  <si>
    <t>Zn(NO3)2-S2</t>
  </si>
  <si>
    <t>n°</t>
  </si>
  <si>
    <t>x [g/g]</t>
  </si>
  <si>
    <t>Water uptake (x)</t>
  </si>
  <si>
    <r>
      <t>m</t>
    </r>
    <r>
      <rPr>
        <b/>
        <vertAlign val="subscript"/>
        <sz val="11"/>
        <rFont val="Calibri"/>
        <family val="2"/>
        <scheme val="minor"/>
      </rPr>
      <t>cement</t>
    </r>
    <r>
      <rPr>
        <b/>
        <sz val="11"/>
        <rFont val="Calibri"/>
        <family val="2"/>
        <scheme val="minor"/>
      </rPr>
      <t xml:space="preserve">
(g)</t>
    </r>
  </si>
  <si>
    <r>
      <t>m</t>
    </r>
    <r>
      <rPr>
        <b/>
        <vertAlign val="subscript"/>
        <sz val="11"/>
        <rFont val="Calibri"/>
        <family val="2"/>
        <scheme val="minor"/>
      </rPr>
      <t>additive</t>
    </r>
    <r>
      <rPr>
        <b/>
        <sz val="11"/>
        <rFont val="Calibri"/>
        <family val="2"/>
        <scheme val="minor"/>
      </rPr>
      <t xml:space="preserve">
(g)</t>
    </r>
  </si>
  <si>
    <r>
      <t>m</t>
    </r>
    <r>
      <rPr>
        <b/>
        <vertAlign val="subscript"/>
        <sz val="11"/>
        <rFont val="Calibri"/>
        <family val="2"/>
        <scheme val="minor"/>
      </rPr>
      <t>salt</t>
    </r>
    <r>
      <rPr>
        <b/>
        <sz val="11"/>
        <rFont val="Calibri"/>
        <family val="2"/>
        <scheme val="minor"/>
      </rPr>
      <t xml:space="preserve">
(g)</t>
    </r>
  </si>
  <si>
    <r>
      <t>m</t>
    </r>
    <r>
      <rPr>
        <b/>
        <vertAlign val="subscript"/>
        <sz val="11"/>
        <rFont val="Calibri"/>
        <family val="2"/>
        <scheme val="minor"/>
      </rPr>
      <t xml:space="preserve">water
</t>
    </r>
    <r>
      <rPr>
        <b/>
        <sz val="11"/>
        <rFont val="Calibri"/>
        <family val="2"/>
        <scheme val="minor"/>
      </rPr>
      <t>(g)</t>
    </r>
  </si>
  <si>
    <t>Specific_energy
(E_d)
[kJ/kg]</t>
  </si>
  <si>
    <t>Salts</t>
  </si>
  <si>
    <t>Conversion</t>
  </si>
  <si>
    <t>Value</t>
  </si>
  <si>
    <t>salt_concentration</t>
  </si>
  <si>
    <t>water_to_cement_ratio</t>
  </si>
  <si>
    <t>antisettling_concentration</t>
  </si>
  <si>
    <t>Penalized - deliquescence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</si>
</sst>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</font>
    <font>
      <b/>
      <vertAlign val="subscript"/>
      <sz val="11"/>
      <name val="Calibri"/>
      <family val="2"/>
    </font>
    <font>
      <b/>
      <sz val="1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0" fontId="2" fillId="0" borderId="11" xfId="0" applyFont="1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165" fontId="0" fillId="0" borderId="15" xfId="0" applyNumberFormat="1" applyBorder="1" applyAlignment="1">
      <alignment horizontal="right" vertical="center"/>
    </xf>
    <xf numFmtId="0" fontId="0" fillId="0" borderId="16" xfId="0" applyBorder="1"/>
    <xf numFmtId="2" fontId="0" fillId="0" borderId="17" xfId="0" applyNumberFormat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164" fontId="0" fillId="0" borderId="20" xfId="0" applyNumberFormat="1" applyBorder="1" applyAlignment="1">
      <alignment horizontal="right" vertical="center"/>
    </xf>
    <xf numFmtId="2" fontId="1" fillId="0" borderId="20" xfId="0" applyNumberFormat="1" applyFont="1" applyBorder="1"/>
    <xf numFmtId="165" fontId="0" fillId="0" borderId="21" xfId="0" applyNumberFormat="1" applyBorder="1" applyAlignment="1">
      <alignment horizontal="right" vertical="center"/>
    </xf>
    <xf numFmtId="164" fontId="0" fillId="0" borderId="22" xfId="0" applyNumberFormat="1" applyBorder="1" applyAlignment="1">
      <alignment horizontal="right" vertical="center"/>
    </xf>
    <xf numFmtId="2" fontId="1" fillId="0" borderId="22" xfId="0" applyNumberFormat="1" applyFont="1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3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7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/>
    </xf>
    <xf numFmtId="0" fontId="9" fillId="0" borderId="0" xfId="0" applyFont="1"/>
    <xf numFmtId="166" fontId="0" fillId="0" borderId="0" xfId="0" applyNumberFormat="1"/>
    <xf numFmtId="0" fontId="0" fillId="0" borderId="24" xfId="0" applyFont="1" applyBorder="1" applyAlignment="1">
      <alignment horizontal="right" vertical="center"/>
    </xf>
  </cellXfs>
  <cellStyles count="1">
    <cellStyle name="Normale" xfId="0" builtinId="0"/>
  </cellStyles>
  <dxfs count="20">
    <dxf>
      <fill>
        <patternFill>
          <bgColor rgb="FFEE0000"/>
        </patternFill>
      </fill>
    </dxf>
    <dxf>
      <alignment horizontal="right" vertical="center" textRotation="0" wrapText="0" indent="0" justifyLastLine="0" shrinkToFit="0" readingOrder="0"/>
    </dxf>
    <dxf>
      <numFmt numFmtId="164" formatCode="0.0"/>
      <alignment horizontal="right" vertical="center" textRotation="0" wrapText="0" indent="0" justifyLastLine="0" shrinkToFit="0" readingOrder="0"/>
    </dxf>
    <dxf>
      <numFmt numFmtId="164" formatCode="0.0"/>
      <alignment horizontal="right" vertical="center" textRotation="0" wrapText="0" indent="0" justifyLastLine="0" shrinkToFit="0" readingOrder="0"/>
    </dxf>
    <dxf>
      <numFmt numFmtId="164" formatCode="0.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165" formatCode="0.0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64C83-FF1F-43EC-BFCA-26421831AC2E}" name="Tabella2" displayName="Tabella2" ref="A1:R103" totalsRowShown="0" dataDxfId="18" headerRowBorderDxfId="19" tableBorderDxfId="17">
  <autoFilter ref="A1:R103" xr:uid="{E2664C83-FF1F-43EC-BFCA-26421831AC2E}"/>
  <tableColumns count="18">
    <tableColumn id="1" xr3:uid="{BFAE19DF-FE77-437D-979A-DCEAEA8B0C12}" name="n°"/>
    <tableColumn id="2" xr3:uid="{462DDF2F-A320-4B27-8C65-85FFE3520B19}" name="opt_round"/>
    <tableColumn id="3" xr3:uid="{ADFBD557-2800-460B-AD93-9C0EDA672243}" name="composite name" dataDxfId="16"/>
    <tableColumn id="4" xr3:uid="{B26111F1-A452-44E8-9BD4-DE8E021C059E}" name="salt" dataDxfId="15"/>
    <tableColumn id="5" xr3:uid="{63DFFA79-8EDD-4045-916F-195599F4E362}" name="Salt_concentration_x000a_(s/smax)_x000a_[kg/kg]" dataDxfId="14"/>
    <tableColumn id="6" xr3:uid="{D88F8E49-4B1B-4CEE-B46D-6A2A937A1275}" name="Water_to_cement_ratio_x000a_(w/c)_x000a_[kg/kg]" dataDxfId="13"/>
    <tableColumn id="7" xr3:uid="{2DBF0F7E-B85F-45C7-9E92-82A5B9B8C21C}" name="antisettling_concentration_x000a_(a/c)_x000a_[g/kg]" dataDxfId="12"/>
    <tableColumn id="8" xr3:uid="{896F04A4-85DB-4E05-8A85-5723857420D9}" name="kernel" dataDxfId="11"/>
    <tableColumn id="9" xr3:uid="{4D32A462-E484-457D-8C6C-C3E990655904}" name="acquisition" dataDxfId="10"/>
    <tableColumn id="10" xr3:uid="{6CCA51C1-E793-42CF-9D22-470A270A9E46}" name="obj_func" dataDxfId="9"/>
    <tableColumn id="11" xr3:uid="{A9055E99-8741-48D5-9E17-2EE9C0D56876}" name="n_rejected_before_accept" dataDxfId="8"/>
    <tableColumn id="12" xr3:uid="{E0F2DBAC-2E7A-44E6-B276-70F970C14CFD}" name="mcement_x000a_(g)" dataDxfId="7"/>
    <tableColumn id="13" xr3:uid="{BF153DB9-719F-4E3F-9391-13067D2D1CB4}" name="madditive_x000a_(g)" dataDxfId="6"/>
    <tableColumn id="14" xr3:uid="{99648251-FF98-4DEE-8A36-0639406F929C}" name="msalt_x000a_(g)" dataDxfId="5"/>
    <tableColumn id="15" xr3:uid="{A3AA4B05-2632-4FE6-8EE8-84A8BDD3C6E7}" name="mwater_x000a_(g)" dataDxfId="4"/>
    <tableColumn id="16" xr3:uid="{A562EFB0-0782-45C2-9F34-4994B7F4575F}" name="Specific_energy_x000a_(E_d)_x000a_[kJ/kg]" dataDxfId="3"/>
    <tableColumn id="17" xr3:uid="{59B8EA4C-7155-4B8D-8B93-43A098976237}" name="Key_performance_indicator_x000a_(KPI)_x000a_[USD/kWh]" dataDxfId="2"/>
    <tableColumn id="18" xr3:uid="{402B7BC8-2918-4AEB-B116-30E0DCE78686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opLeftCell="F76" zoomScale="80" zoomScaleNormal="80" workbookViewId="0">
      <selection activeCell="R57" sqref="R57"/>
    </sheetView>
  </sheetViews>
  <sheetFormatPr defaultRowHeight="14.4" x14ac:dyDescent="0.3"/>
  <cols>
    <col min="2" max="2" width="13" customWidth="1"/>
    <col min="3" max="3" width="19.6640625" bestFit="1" customWidth="1"/>
    <col min="4" max="4" width="11.109375" bestFit="1" customWidth="1"/>
    <col min="5" max="5" width="33" bestFit="1" customWidth="1"/>
    <col min="6" max="6" width="27.77734375" bestFit="1" customWidth="1"/>
    <col min="7" max="7" width="31.6640625" bestFit="1" customWidth="1"/>
    <col min="8" max="8" width="8.44140625" bestFit="1" customWidth="1"/>
    <col min="9" max="9" width="13.88671875" bestFit="1" customWidth="1"/>
    <col min="10" max="10" width="11.33203125" bestFit="1" customWidth="1"/>
    <col min="11" max="11" width="32.109375" bestFit="1" customWidth="1"/>
    <col min="12" max="12" width="12.77734375" bestFit="1" customWidth="1"/>
    <col min="13" max="13" width="13.21875" bestFit="1" customWidth="1"/>
    <col min="14" max="14" width="10.5546875" style="26" bestFit="1" customWidth="1"/>
    <col min="15" max="15" width="11.88671875" bestFit="1" customWidth="1"/>
    <col min="16" max="16" width="18.77734375" customWidth="1"/>
    <col min="17" max="17" width="33" customWidth="1"/>
    <col min="18" max="18" width="50.109375" bestFit="1" customWidth="1"/>
  </cols>
  <sheetData>
    <row r="1" spans="1:18" ht="44.4" x14ac:dyDescent="0.3">
      <c r="A1" s="32" t="s">
        <v>149</v>
      </c>
      <c r="B1" s="32" t="s">
        <v>0</v>
      </c>
      <c r="C1" s="32" t="s">
        <v>34</v>
      </c>
      <c r="D1" s="32" t="s">
        <v>1</v>
      </c>
      <c r="E1" s="33" t="s">
        <v>35</v>
      </c>
      <c r="F1" s="33" t="s">
        <v>36</v>
      </c>
      <c r="G1" s="33" t="s">
        <v>37</v>
      </c>
      <c r="H1" s="32" t="s">
        <v>2</v>
      </c>
      <c r="I1" s="34" t="s">
        <v>3</v>
      </c>
      <c r="J1" s="32" t="s">
        <v>4</v>
      </c>
      <c r="K1" s="34" t="s">
        <v>5</v>
      </c>
      <c r="L1" s="36" t="s">
        <v>152</v>
      </c>
      <c r="M1" s="36" t="s">
        <v>153</v>
      </c>
      <c r="N1" s="36" t="s">
        <v>154</v>
      </c>
      <c r="O1" s="36" t="s">
        <v>155</v>
      </c>
      <c r="P1" s="33" t="s">
        <v>156</v>
      </c>
      <c r="Q1" s="33" t="s">
        <v>38</v>
      </c>
      <c r="R1" s="32" t="s">
        <v>8</v>
      </c>
    </row>
    <row r="2" spans="1:18" x14ac:dyDescent="0.3">
      <c r="A2">
        <v>1</v>
      </c>
      <c r="B2">
        <v>0</v>
      </c>
      <c r="C2" s="27" t="s">
        <v>41</v>
      </c>
      <c r="D2" s="28" t="s">
        <v>9</v>
      </c>
      <c r="E2" s="28">
        <v>0.5</v>
      </c>
      <c r="F2" s="28">
        <v>1</v>
      </c>
      <c r="G2" s="28">
        <v>0</v>
      </c>
      <c r="H2" s="28" t="s">
        <v>31</v>
      </c>
      <c r="I2" s="28" t="s">
        <v>31</v>
      </c>
      <c r="J2" s="28" t="s">
        <v>31</v>
      </c>
      <c r="K2" s="28" t="s">
        <v>31</v>
      </c>
      <c r="L2" s="28">
        <v>20</v>
      </c>
      <c r="M2" s="31">
        <v>0</v>
      </c>
      <c r="N2" s="30">
        <v>7.3101836036155801</v>
      </c>
      <c r="O2" s="29">
        <v>20</v>
      </c>
      <c r="P2" s="29">
        <v>39.392650670782693</v>
      </c>
      <c r="Q2" s="29">
        <v>6.7647303479801772</v>
      </c>
      <c r="R2" s="28"/>
    </row>
    <row r="3" spans="1:18" ht="15.6" x14ac:dyDescent="0.3">
      <c r="A3">
        <v>2</v>
      </c>
      <c r="B3">
        <v>0</v>
      </c>
      <c r="C3" s="27" t="s">
        <v>142</v>
      </c>
      <c r="D3" s="28" t="s">
        <v>10</v>
      </c>
      <c r="E3" s="28">
        <v>0.5</v>
      </c>
      <c r="F3" s="28">
        <v>1</v>
      </c>
      <c r="G3" s="28">
        <v>0</v>
      </c>
      <c r="H3" s="28" t="s">
        <v>31</v>
      </c>
      <c r="I3" s="28" t="s">
        <v>31</v>
      </c>
      <c r="J3" s="28" t="s">
        <v>31</v>
      </c>
      <c r="K3" s="28" t="s">
        <v>31</v>
      </c>
      <c r="L3" s="28">
        <v>20</v>
      </c>
      <c r="M3" s="31">
        <v>0</v>
      </c>
      <c r="N3" s="30">
        <v>10.769407752468824</v>
      </c>
      <c r="O3" s="29">
        <v>20</v>
      </c>
      <c r="P3" s="29">
        <v>91.05346846477957</v>
      </c>
      <c r="Q3" s="29">
        <v>2.4273681310327389</v>
      </c>
      <c r="R3" s="28"/>
    </row>
    <row r="4" spans="1:18" x14ac:dyDescent="0.3">
      <c r="A4">
        <v>3</v>
      </c>
      <c r="B4">
        <v>0</v>
      </c>
      <c r="C4" s="27" t="s">
        <v>43</v>
      </c>
      <c r="D4" s="28" t="s">
        <v>11</v>
      </c>
      <c r="E4" s="28">
        <v>0.5</v>
      </c>
      <c r="F4" s="28">
        <v>1</v>
      </c>
      <c r="G4" s="28">
        <v>0</v>
      </c>
      <c r="H4" s="28" t="s">
        <v>31</v>
      </c>
      <c r="I4" s="28" t="s">
        <v>31</v>
      </c>
      <c r="J4" s="28" t="s">
        <v>31</v>
      </c>
      <c r="K4" s="28" t="s">
        <v>31</v>
      </c>
      <c r="L4" s="28">
        <v>20</v>
      </c>
      <c r="M4" s="31">
        <v>0</v>
      </c>
      <c r="N4" s="30">
        <v>15.374303843511296</v>
      </c>
      <c r="O4" s="29">
        <v>20</v>
      </c>
      <c r="P4" s="29">
        <v>159.1690794764923</v>
      </c>
      <c r="Q4" s="29">
        <v>32.224874056525167</v>
      </c>
      <c r="R4" s="28"/>
    </row>
    <row r="5" spans="1:18" x14ac:dyDescent="0.3">
      <c r="A5">
        <v>4</v>
      </c>
      <c r="B5">
        <v>0</v>
      </c>
      <c r="C5" s="27" t="s">
        <v>44</v>
      </c>
      <c r="D5" s="28" t="s">
        <v>12</v>
      </c>
      <c r="E5" s="28">
        <v>0.5</v>
      </c>
      <c r="F5" s="28">
        <v>1</v>
      </c>
      <c r="G5" s="28">
        <v>0</v>
      </c>
      <c r="H5" s="28" t="s">
        <v>31</v>
      </c>
      <c r="I5" s="28" t="s">
        <v>31</v>
      </c>
      <c r="J5" s="28" t="s">
        <v>31</v>
      </c>
      <c r="K5" s="28" t="s">
        <v>31</v>
      </c>
      <c r="L5" s="28">
        <v>20</v>
      </c>
      <c r="M5" s="31">
        <v>0</v>
      </c>
      <c r="N5" s="30">
        <v>11.957559525685058</v>
      </c>
      <c r="O5" s="29">
        <v>20</v>
      </c>
      <c r="P5" s="29">
        <v>88.671747737270337</v>
      </c>
      <c r="Q5" s="29">
        <v>2.7153629839084239</v>
      </c>
      <c r="R5" s="28"/>
    </row>
    <row r="6" spans="1:18" x14ac:dyDescent="0.3">
      <c r="A6">
        <v>5</v>
      </c>
      <c r="B6">
        <v>0</v>
      </c>
      <c r="C6" s="27" t="s">
        <v>42</v>
      </c>
      <c r="D6" s="28" t="s">
        <v>13</v>
      </c>
      <c r="E6" s="28">
        <v>0.5</v>
      </c>
      <c r="F6" s="28">
        <v>1</v>
      </c>
      <c r="G6" s="28">
        <v>0</v>
      </c>
      <c r="H6" s="28" t="s">
        <v>31</v>
      </c>
      <c r="I6" s="28" t="s">
        <v>31</v>
      </c>
      <c r="J6" s="28" t="s">
        <v>31</v>
      </c>
      <c r="K6" s="28" t="s">
        <v>31</v>
      </c>
      <c r="L6" s="28">
        <v>20</v>
      </c>
      <c r="M6" s="31">
        <v>0</v>
      </c>
      <c r="N6" s="30">
        <v>3.4415791089474901</v>
      </c>
      <c r="O6" s="29">
        <v>20</v>
      </c>
      <c r="P6" s="29">
        <v>9.6587418773580485</v>
      </c>
      <c r="Q6" s="29">
        <v>61.776687942316073</v>
      </c>
      <c r="R6" s="28"/>
    </row>
    <row r="7" spans="1:18" x14ac:dyDescent="0.3">
      <c r="A7">
        <v>6</v>
      </c>
      <c r="B7">
        <v>0</v>
      </c>
      <c r="C7" s="27" t="s">
        <v>45</v>
      </c>
      <c r="D7" s="28" t="s">
        <v>14</v>
      </c>
      <c r="E7" s="28">
        <v>0.5</v>
      </c>
      <c r="F7" s="28">
        <v>1</v>
      </c>
      <c r="G7" s="28">
        <v>0</v>
      </c>
      <c r="H7" s="28" t="s">
        <v>31</v>
      </c>
      <c r="I7" s="28" t="s">
        <v>31</v>
      </c>
      <c r="J7" s="28" t="s">
        <v>31</v>
      </c>
      <c r="K7" s="28" t="s">
        <v>31</v>
      </c>
      <c r="L7" s="28">
        <v>20</v>
      </c>
      <c r="M7" s="31">
        <v>0</v>
      </c>
      <c r="N7" s="30">
        <v>7.49885313794202</v>
      </c>
      <c r="O7" s="29">
        <v>20</v>
      </c>
      <c r="P7" s="29">
        <v>24.129956976093439</v>
      </c>
      <c r="Q7" s="29">
        <v>9.7053415352638996</v>
      </c>
      <c r="R7" s="28"/>
    </row>
    <row r="8" spans="1:18" x14ac:dyDescent="0.3">
      <c r="A8">
        <v>7</v>
      </c>
      <c r="B8">
        <v>0</v>
      </c>
      <c r="C8" s="27" t="s">
        <v>46</v>
      </c>
      <c r="D8" s="28" t="s">
        <v>15</v>
      </c>
      <c r="E8" s="28">
        <v>0.5</v>
      </c>
      <c r="F8" s="28">
        <v>1</v>
      </c>
      <c r="G8" s="28">
        <v>0</v>
      </c>
      <c r="H8" s="28" t="s">
        <v>31</v>
      </c>
      <c r="I8" s="28" t="s">
        <v>31</v>
      </c>
      <c r="J8" s="28" t="s">
        <v>31</v>
      </c>
      <c r="K8" s="28" t="s">
        <v>31</v>
      </c>
      <c r="L8" s="28">
        <v>20</v>
      </c>
      <c r="M8" s="31">
        <v>0</v>
      </c>
      <c r="N8" s="30">
        <v>13.270349333603464</v>
      </c>
      <c r="O8" s="29">
        <v>20</v>
      </c>
      <c r="P8" s="29">
        <v>35.210514773413507</v>
      </c>
      <c r="Q8" s="29">
        <v>25.56438513596412</v>
      </c>
      <c r="R8" s="28"/>
    </row>
    <row r="9" spans="1:18" x14ac:dyDescent="0.3">
      <c r="A9">
        <v>8</v>
      </c>
      <c r="B9">
        <v>0</v>
      </c>
      <c r="C9" s="27" t="s">
        <v>47</v>
      </c>
      <c r="D9" s="28" t="s">
        <v>16</v>
      </c>
      <c r="E9" s="28">
        <v>0.5</v>
      </c>
      <c r="F9" s="28">
        <v>1</v>
      </c>
      <c r="G9" s="28">
        <v>0</v>
      </c>
      <c r="H9" s="28" t="s">
        <v>31</v>
      </c>
      <c r="I9" s="28" t="s">
        <v>31</v>
      </c>
      <c r="J9" s="28" t="s">
        <v>31</v>
      </c>
      <c r="K9" s="28" t="s">
        <v>31</v>
      </c>
      <c r="L9" s="28">
        <v>20</v>
      </c>
      <c r="M9" s="31">
        <v>0</v>
      </c>
      <c r="N9" s="30">
        <v>1.0839817586801186</v>
      </c>
      <c r="O9" s="29">
        <v>20</v>
      </c>
      <c r="P9" s="29">
        <v>39.873986572738893</v>
      </c>
      <c r="Q9" s="29">
        <v>5.0768506484017788</v>
      </c>
      <c r="R9" s="28"/>
    </row>
    <row r="10" spans="1:18" x14ac:dyDescent="0.3">
      <c r="A10">
        <v>9</v>
      </c>
      <c r="B10">
        <v>0</v>
      </c>
      <c r="C10" s="27" t="s">
        <v>48</v>
      </c>
      <c r="D10" s="28" t="s">
        <v>17</v>
      </c>
      <c r="E10" s="28">
        <v>0.5</v>
      </c>
      <c r="F10" s="28">
        <v>1</v>
      </c>
      <c r="G10" s="28">
        <v>0</v>
      </c>
      <c r="H10" s="28" t="s">
        <v>31</v>
      </c>
      <c r="I10" s="28" t="s">
        <v>31</v>
      </c>
      <c r="J10" s="28" t="s">
        <v>31</v>
      </c>
      <c r="K10" s="28" t="s">
        <v>31</v>
      </c>
      <c r="L10" s="28">
        <v>20</v>
      </c>
      <c r="M10" s="31">
        <v>0</v>
      </c>
      <c r="N10" s="30">
        <v>12.040761664386469</v>
      </c>
      <c r="O10" s="29">
        <v>20</v>
      </c>
      <c r="P10" s="29">
        <v>186.574575093927</v>
      </c>
      <c r="Q10" s="29">
        <v>45.397932268488148</v>
      </c>
      <c r="R10" s="28"/>
    </row>
    <row r="11" spans="1:18" x14ac:dyDescent="0.3">
      <c r="A11">
        <v>10</v>
      </c>
      <c r="B11">
        <v>0</v>
      </c>
      <c r="C11" s="27" t="s">
        <v>49</v>
      </c>
      <c r="D11" s="28" t="s">
        <v>18</v>
      </c>
      <c r="E11" s="28">
        <v>0.5</v>
      </c>
      <c r="F11" s="28">
        <v>1</v>
      </c>
      <c r="G11" s="28">
        <v>0</v>
      </c>
      <c r="H11" s="28" t="s">
        <v>31</v>
      </c>
      <c r="I11" s="28" t="s">
        <v>31</v>
      </c>
      <c r="J11" s="28" t="s">
        <v>31</v>
      </c>
      <c r="K11" s="28" t="s">
        <v>31</v>
      </c>
      <c r="L11" s="28">
        <v>20</v>
      </c>
      <c r="M11" s="31">
        <v>0</v>
      </c>
      <c r="N11" s="30">
        <v>12.309092331135297</v>
      </c>
      <c r="O11" s="29">
        <v>20</v>
      </c>
      <c r="P11" s="29">
        <v>76.295014037688844</v>
      </c>
      <c r="Q11" s="29">
        <v>6.8369464884600388</v>
      </c>
      <c r="R11" s="28"/>
    </row>
    <row r="12" spans="1:18" x14ac:dyDescent="0.3">
      <c r="A12">
        <v>11</v>
      </c>
      <c r="B12">
        <v>0</v>
      </c>
      <c r="C12" s="27" t="s">
        <v>50</v>
      </c>
      <c r="D12" s="28" t="s">
        <v>19</v>
      </c>
      <c r="E12" s="28">
        <v>0.5</v>
      </c>
      <c r="F12" s="28">
        <v>1</v>
      </c>
      <c r="G12" s="28">
        <v>0</v>
      </c>
      <c r="H12" s="28" t="s">
        <v>31</v>
      </c>
      <c r="I12" s="28" t="s">
        <v>31</v>
      </c>
      <c r="J12" s="28" t="s">
        <v>31</v>
      </c>
      <c r="K12" s="28" t="s">
        <v>31</v>
      </c>
      <c r="L12" s="28">
        <v>20</v>
      </c>
      <c r="M12" s="31">
        <v>0</v>
      </c>
      <c r="N12" s="30">
        <v>18.847839170511779</v>
      </c>
      <c r="O12" s="29">
        <v>20</v>
      </c>
      <c r="P12" s="29">
        <v>103.9177782025501</v>
      </c>
      <c r="Q12" s="29">
        <v>9.5230834335071819</v>
      </c>
      <c r="R12" s="28"/>
    </row>
    <row r="13" spans="1:18" x14ac:dyDescent="0.3">
      <c r="A13">
        <v>12</v>
      </c>
      <c r="B13">
        <v>0</v>
      </c>
      <c r="C13" s="27" t="s">
        <v>51</v>
      </c>
      <c r="D13" s="28" t="s">
        <v>9</v>
      </c>
      <c r="E13" s="28">
        <v>0.7</v>
      </c>
      <c r="F13" s="28">
        <v>1.5</v>
      </c>
      <c r="G13" s="28">
        <v>0.2</v>
      </c>
      <c r="H13" s="28" t="s">
        <v>31</v>
      </c>
      <c r="I13" s="28" t="s">
        <v>31</v>
      </c>
      <c r="J13" s="28" t="s">
        <v>31</v>
      </c>
      <c r="K13" s="28" t="s">
        <v>31</v>
      </c>
      <c r="L13" s="28">
        <v>20</v>
      </c>
      <c r="M13" s="31">
        <v>0.04</v>
      </c>
      <c r="N13" s="30">
        <v>15.351385567592716</v>
      </c>
      <c r="O13" s="29">
        <v>30</v>
      </c>
      <c r="P13" s="29">
        <v>26.860774867660879</v>
      </c>
      <c r="Q13" s="29">
        <v>11.334379713408349</v>
      </c>
      <c r="R13" s="28"/>
    </row>
    <row r="14" spans="1:18" x14ac:dyDescent="0.3">
      <c r="A14">
        <v>13</v>
      </c>
      <c r="B14">
        <v>0</v>
      </c>
      <c r="C14" s="27" t="s">
        <v>52</v>
      </c>
      <c r="D14" s="28" t="s">
        <v>10</v>
      </c>
      <c r="E14" s="28">
        <v>0.8</v>
      </c>
      <c r="F14" s="28">
        <v>1</v>
      </c>
      <c r="G14" s="28">
        <v>3</v>
      </c>
      <c r="H14" s="28" t="s">
        <v>31</v>
      </c>
      <c r="I14" s="28" t="s">
        <v>31</v>
      </c>
      <c r="J14" s="28" t="s">
        <v>31</v>
      </c>
      <c r="K14" s="28" t="s">
        <v>31</v>
      </c>
      <c r="L14" s="28">
        <v>20</v>
      </c>
      <c r="M14" s="31">
        <v>0.6</v>
      </c>
      <c r="N14" s="30">
        <v>17.23105240395012</v>
      </c>
      <c r="O14" s="29">
        <v>20</v>
      </c>
      <c r="P14" s="29">
        <v>108.0731447081358</v>
      </c>
      <c r="Q14" s="29">
        <v>5.6236050083505607</v>
      </c>
      <c r="R14" s="28"/>
    </row>
    <row r="15" spans="1:18" x14ac:dyDescent="0.3">
      <c r="A15">
        <v>14</v>
      </c>
      <c r="B15">
        <v>0</v>
      </c>
      <c r="C15" s="27" t="s">
        <v>53</v>
      </c>
      <c r="D15" s="28" t="s">
        <v>11</v>
      </c>
      <c r="E15" s="28">
        <v>0.4</v>
      </c>
      <c r="F15" s="28">
        <v>0.7</v>
      </c>
      <c r="G15" s="28">
        <v>2</v>
      </c>
      <c r="H15" s="28" t="s">
        <v>31</v>
      </c>
      <c r="I15" s="28" t="s">
        <v>31</v>
      </c>
      <c r="J15" s="28" t="s">
        <v>31</v>
      </c>
      <c r="K15" s="28" t="s">
        <v>31</v>
      </c>
      <c r="L15" s="28">
        <v>20</v>
      </c>
      <c r="M15" s="31">
        <v>0.4</v>
      </c>
      <c r="N15" s="30">
        <v>8.6096101523663275</v>
      </c>
      <c r="O15" s="29">
        <v>14</v>
      </c>
      <c r="P15" s="29">
        <v>65.100038956943706</v>
      </c>
      <c r="Q15" s="29">
        <v>63.101352227691507</v>
      </c>
      <c r="R15" s="28"/>
    </row>
    <row r="16" spans="1:18" x14ac:dyDescent="0.3">
      <c r="A16">
        <v>15</v>
      </c>
      <c r="B16">
        <v>0</v>
      </c>
      <c r="C16" s="27" t="s">
        <v>54</v>
      </c>
      <c r="D16" s="28" t="s">
        <v>12</v>
      </c>
      <c r="E16" s="28">
        <v>0.6</v>
      </c>
      <c r="F16" s="28">
        <v>0.9</v>
      </c>
      <c r="G16" s="28">
        <v>1.2</v>
      </c>
      <c r="H16" s="28" t="s">
        <v>31</v>
      </c>
      <c r="I16" s="28" t="s">
        <v>31</v>
      </c>
      <c r="J16" s="28" t="s">
        <v>31</v>
      </c>
      <c r="K16" s="28" t="s">
        <v>31</v>
      </c>
      <c r="L16" s="28">
        <v>20</v>
      </c>
      <c r="M16" s="31">
        <v>0.24</v>
      </c>
      <c r="N16" s="30">
        <v>12.914164287739862</v>
      </c>
      <c r="O16" s="29">
        <v>18</v>
      </c>
      <c r="P16" s="29">
        <v>65.587041664386732</v>
      </c>
      <c r="Q16" s="29">
        <v>6.4226977938131293</v>
      </c>
      <c r="R16" s="28"/>
    </row>
    <row r="17" spans="1:18" x14ac:dyDescent="0.3">
      <c r="A17">
        <v>16</v>
      </c>
      <c r="B17">
        <v>0</v>
      </c>
      <c r="C17" s="27" t="s">
        <v>55</v>
      </c>
      <c r="D17" s="28" t="s">
        <v>13</v>
      </c>
      <c r="E17" s="28">
        <v>0.9</v>
      </c>
      <c r="F17" s="28">
        <v>1</v>
      </c>
      <c r="G17" s="28">
        <v>0.6</v>
      </c>
      <c r="H17" s="28" t="s">
        <v>31</v>
      </c>
      <c r="I17" s="28" t="s">
        <v>31</v>
      </c>
      <c r="J17" s="28" t="s">
        <v>31</v>
      </c>
      <c r="K17" s="28" t="s">
        <v>31</v>
      </c>
      <c r="L17" s="28">
        <v>20</v>
      </c>
      <c r="M17" s="31">
        <v>0.12</v>
      </c>
      <c r="N17" s="30">
        <v>6.1948423961054822</v>
      </c>
      <c r="O17" s="29">
        <v>20</v>
      </c>
      <c r="P17" s="29">
        <v>6.5541328705162769</v>
      </c>
      <c r="Q17" s="29">
        <v>148.55600536629501</v>
      </c>
      <c r="R17" s="28"/>
    </row>
    <row r="18" spans="1:18" x14ac:dyDescent="0.3">
      <c r="A18">
        <v>17</v>
      </c>
      <c r="B18">
        <v>0</v>
      </c>
      <c r="C18" s="27" t="s">
        <v>56</v>
      </c>
      <c r="D18" s="28" t="s">
        <v>14</v>
      </c>
      <c r="E18" s="28">
        <v>0.8</v>
      </c>
      <c r="F18" s="28">
        <v>1.1000000000000001</v>
      </c>
      <c r="G18" s="28">
        <v>0.4</v>
      </c>
      <c r="H18" s="28" t="s">
        <v>31</v>
      </c>
      <c r="I18" s="28" t="s">
        <v>31</v>
      </c>
      <c r="J18" s="28" t="s">
        <v>31</v>
      </c>
      <c r="K18" s="28" t="s">
        <v>31</v>
      </c>
      <c r="L18" s="28">
        <v>20</v>
      </c>
      <c r="M18" s="31">
        <v>0.08</v>
      </c>
      <c r="N18" s="30">
        <v>13.197981522777955</v>
      </c>
      <c r="O18" s="29">
        <v>22</v>
      </c>
      <c r="P18" s="29">
        <v>16.699443678476431</v>
      </c>
      <c r="Q18" s="29">
        <v>18.297445676285641</v>
      </c>
      <c r="R18" s="28"/>
    </row>
    <row r="19" spans="1:18" x14ac:dyDescent="0.3">
      <c r="A19">
        <v>18</v>
      </c>
      <c r="B19">
        <v>0</v>
      </c>
      <c r="C19" s="27" t="s">
        <v>57</v>
      </c>
      <c r="D19" s="28" t="s">
        <v>15</v>
      </c>
      <c r="E19" s="28">
        <v>0.5</v>
      </c>
      <c r="F19" s="28">
        <v>0.8</v>
      </c>
      <c r="G19" s="28">
        <v>1.5</v>
      </c>
      <c r="H19" s="28" t="s">
        <v>31</v>
      </c>
      <c r="I19" s="28" t="s">
        <v>31</v>
      </c>
      <c r="J19" s="28" t="s">
        <v>31</v>
      </c>
      <c r="K19" s="28" t="s">
        <v>31</v>
      </c>
      <c r="L19" s="28">
        <v>20</v>
      </c>
      <c r="M19" s="31">
        <v>0.3</v>
      </c>
      <c r="N19" s="30">
        <v>10.616279466882771</v>
      </c>
      <c r="O19" s="29">
        <v>16</v>
      </c>
      <c r="P19" s="29">
        <v>22.021758685506281</v>
      </c>
      <c r="Q19" s="29">
        <v>48.983174667328527</v>
      </c>
      <c r="R19" s="28"/>
    </row>
    <row r="20" spans="1:18" x14ac:dyDescent="0.3">
      <c r="A20">
        <v>19</v>
      </c>
      <c r="B20">
        <v>0</v>
      </c>
      <c r="C20" s="27" t="s">
        <v>61</v>
      </c>
      <c r="D20" s="28" t="s">
        <v>16</v>
      </c>
      <c r="E20" s="28">
        <v>0.9</v>
      </c>
      <c r="F20" s="28">
        <v>1.4</v>
      </c>
      <c r="G20" s="28">
        <v>0.8</v>
      </c>
      <c r="H20" s="28" t="s">
        <v>31</v>
      </c>
      <c r="I20" s="28" t="s">
        <v>31</v>
      </c>
      <c r="J20" s="28" t="s">
        <v>31</v>
      </c>
      <c r="K20" s="28" t="s">
        <v>31</v>
      </c>
      <c r="L20" s="28">
        <v>20</v>
      </c>
      <c r="M20" s="31">
        <v>0.16</v>
      </c>
      <c r="N20" s="30">
        <v>2.7316340318738992</v>
      </c>
      <c r="O20" s="29">
        <v>28</v>
      </c>
      <c r="P20" s="29">
        <v>25.894838921060138</v>
      </c>
      <c r="Q20" s="29">
        <v>11.85213085855947</v>
      </c>
      <c r="R20" s="28"/>
    </row>
    <row r="21" spans="1:18" x14ac:dyDescent="0.3">
      <c r="A21">
        <v>20</v>
      </c>
      <c r="B21">
        <v>0</v>
      </c>
      <c r="C21" s="27" t="s">
        <v>64</v>
      </c>
      <c r="D21" s="28" t="s">
        <v>17</v>
      </c>
      <c r="E21" s="28">
        <v>0.1</v>
      </c>
      <c r="F21" s="28">
        <v>0.7</v>
      </c>
      <c r="G21" s="28">
        <v>2.5</v>
      </c>
      <c r="H21" s="28" t="s">
        <v>31</v>
      </c>
      <c r="I21" s="28" t="s">
        <v>31</v>
      </c>
      <c r="J21" s="28" t="s">
        <v>31</v>
      </c>
      <c r="K21" s="28" t="s">
        <v>31</v>
      </c>
      <c r="L21" s="28">
        <v>20</v>
      </c>
      <c r="M21" s="31">
        <v>0.5</v>
      </c>
      <c r="N21" s="30">
        <v>1.6857066330141059</v>
      </c>
      <c r="O21" s="29">
        <v>14</v>
      </c>
      <c r="P21" s="29">
        <v>49.207124102601377</v>
      </c>
      <c r="Q21" s="29">
        <v>48.371809531943079</v>
      </c>
      <c r="R21" s="28"/>
    </row>
    <row r="22" spans="1:18" x14ac:dyDescent="0.3">
      <c r="A22">
        <v>21</v>
      </c>
      <c r="B22">
        <v>0</v>
      </c>
      <c r="C22" s="27" t="s">
        <v>63</v>
      </c>
      <c r="D22" s="28" t="s">
        <v>18</v>
      </c>
      <c r="E22" s="28">
        <v>0.2</v>
      </c>
      <c r="F22" s="28">
        <v>1.3</v>
      </c>
      <c r="G22" s="28">
        <v>1.7</v>
      </c>
      <c r="H22" s="28" t="s">
        <v>31</v>
      </c>
      <c r="I22" s="28" t="s">
        <v>31</v>
      </c>
      <c r="J22" s="28" t="s">
        <v>31</v>
      </c>
      <c r="K22" s="28" t="s">
        <v>31</v>
      </c>
      <c r="L22" s="28">
        <v>20</v>
      </c>
      <c r="M22" s="31">
        <v>0.34</v>
      </c>
      <c r="N22" s="30">
        <v>6.4007280121903536</v>
      </c>
      <c r="O22" s="29">
        <v>26</v>
      </c>
      <c r="P22" s="29">
        <v>55.636769044271936</v>
      </c>
      <c r="Q22" s="29">
        <v>10.222326190664051</v>
      </c>
      <c r="R22" s="28"/>
    </row>
    <row r="23" spans="1:18" x14ac:dyDescent="0.3">
      <c r="A23">
        <v>22</v>
      </c>
      <c r="B23">
        <v>0</v>
      </c>
      <c r="C23" s="27" t="s">
        <v>62</v>
      </c>
      <c r="D23" s="28" t="s">
        <v>19</v>
      </c>
      <c r="E23" s="28">
        <v>0.3</v>
      </c>
      <c r="F23" s="28">
        <v>1.2</v>
      </c>
      <c r="G23" s="28">
        <v>2.2000000000000002</v>
      </c>
      <c r="H23" s="28" t="s">
        <v>31</v>
      </c>
      <c r="I23" s="28" t="s">
        <v>31</v>
      </c>
      <c r="J23" s="28" t="s">
        <v>31</v>
      </c>
      <c r="K23" s="28" t="s">
        <v>31</v>
      </c>
      <c r="L23" s="28">
        <v>20</v>
      </c>
      <c r="M23" s="31">
        <v>0.44</v>
      </c>
      <c r="N23" s="30">
        <v>13.570444202768481</v>
      </c>
      <c r="O23" s="29">
        <v>24</v>
      </c>
      <c r="P23" s="29">
        <v>50.668982691590237</v>
      </c>
      <c r="Q23" s="29">
        <v>20.36255009515158</v>
      </c>
      <c r="R23" s="28"/>
    </row>
    <row r="24" spans="1:18" x14ac:dyDescent="0.3">
      <c r="A24">
        <v>23</v>
      </c>
      <c r="B24">
        <v>1</v>
      </c>
      <c r="C24" s="27" t="s">
        <v>65</v>
      </c>
      <c r="D24" s="28" t="s">
        <v>11</v>
      </c>
      <c r="E24" s="28">
        <v>0.49</v>
      </c>
      <c r="F24" s="28">
        <v>1.19</v>
      </c>
      <c r="G24" s="28">
        <v>0</v>
      </c>
      <c r="H24" s="28" t="s">
        <v>20</v>
      </c>
      <c r="I24" s="28" t="s">
        <v>21</v>
      </c>
      <c r="J24" s="28" t="s">
        <v>6</v>
      </c>
      <c r="K24" s="28">
        <v>31</v>
      </c>
      <c r="L24" s="28">
        <v>20</v>
      </c>
      <c r="M24" s="31">
        <v>0</v>
      </c>
      <c r="N24" s="30">
        <v>17.929513142302874</v>
      </c>
      <c r="O24" s="29">
        <v>23.799999999999997</v>
      </c>
      <c r="P24" s="29">
        <v>90.604780063621803</v>
      </c>
      <c r="Q24" s="29">
        <v>59.02078456123774</v>
      </c>
      <c r="R24" s="28"/>
    </row>
    <row r="25" spans="1:18" x14ac:dyDescent="0.3">
      <c r="A25">
        <v>24</v>
      </c>
      <c r="B25">
        <v>1</v>
      </c>
      <c r="C25" s="27" t="s">
        <v>66</v>
      </c>
      <c r="D25" s="28" t="s">
        <v>12</v>
      </c>
      <c r="E25" s="28">
        <v>0.9</v>
      </c>
      <c r="F25" s="28">
        <v>1.5</v>
      </c>
      <c r="G25" s="28">
        <v>3</v>
      </c>
      <c r="H25" s="28" t="s">
        <v>20</v>
      </c>
      <c r="I25" s="28" t="s">
        <v>22</v>
      </c>
      <c r="J25" s="28" t="s">
        <v>6</v>
      </c>
      <c r="K25" s="28">
        <v>0</v>
      </c>
      <c r="L25" s="28">
        <v>20</v>
      </c>
      <c r="M25" s="31">
        <v>0.6</v>
      </c>
      <c r="N25" s="30">
        <v>32.285410719349656</v>
      </c>
      <c r="O25" s="29">
        <v>30</v>
      </c>
      <c r="P25" s="29">
        <v>1</v>
      </c>
      <c r="Q25" s="29">
        <v>200</v>
      </c>
      <c r="R25" s="28" t="s">
        <v>39</v>
      </c>
    </row>
    <row r="26" spans="1:18" x14ac:dyDescent="0.3">
      <c r="A26">
        <v>25</v>
      </c>
      <c r="B26">
        <v>1</v>
      </c>
      <c r="C26" s="27" t="s">
        <v>67</v>
      </c>
      <c r="D26" s="28" t="s">
        <v>12</v>
      </c>
      <c r="E26" s="28">
        <v>0.36</v>
      </c>
      <c r="F26" s="28">
        <v>0.89</v>
      </c>
      <c r="G26" s="28">
        <v>0</v>
      </c>
      <c r="H26" s="28" t="s">
        <v>20</v>
      </c>
      <c r="I26" s="28" t="s">
        <v>23</v>
      </c>
      <c r="J26" s="28" t="s">
        <v>6</v>
      </c>
      <c r="K26" s="28">
        <v>0</v>
      </c>
      <c r="L26" s="28">
        <v>20</v>
      </c>
      <c r="M26" s="31">
        <v>0</v>
      </c>
      <c r="N26" s="30">
        <v>7.6624041440589847</v>
      </c>
      <c r="O26" s="29">
        <v>17.8</v>
      </c>
      <c r="P26" s="29">
        <v>54.830669972904701</v>
      </c>
      <c r="Q26" s="29">
        <v>4.2677310367707744</v>
      </c>
      <c r="R26" s="28"/>
    </row>
    <row r="27" spans="1:18" x14ac:dyDescent="0.3">
      <c r="A27">
        <v>26</v>
      </c>
      <c r="B27">
        <v>1</v>
      </c>
      <c r="C27" s="27" t="s">
        <v>68</v>
      </c>
      <c r="D27" s="28" t="s">
        <v>17</v>
      </c>
      <c r="E27" s="28">
        <v>0.39</v>
      </c>
      <c r="F27" s="28">
        <v>1.1499999999999999</v>
      </c>
      <c r="G27" s="28">
        <v>0</v>
      </c>
      <c r="H27" s="28" t="s">
        <v>20</v>
      </c>
      <c r="I27" s="28" t="s">
        <v>24</v>
      </c>
      <c r="J27" s="28" t="s">
        <v>6</v>
      </c>
      <c r="K27" s="28">
        <v>5</v>
      </c>
      <c r="L27" s="28">
        <v>20</v>
      </c>
      <c r="M27" s="31">
        <v>0</v>
      </c>
      <c r="N27" s="30">
        <v>10.800563212954664</v>
      </c>
      <c r="O27" s="29">
        <v>23</v>
      </c>
      <c r="P27" s="29">
        <v>200.65998044343519</v>
      </c>
      <c r="Q27" s="29">
        <v>36.698760891467899</v>
      </c>
      <c r="R27" s="28"/>
    </row>
    <row r="28" spans="1:18" x14ac:dyDescent="0.3">
      <c r="A28">
        <v>27</v>
      </c>
      <c r="B28">
        <v>1</v>
      </c>
      <c r="C28" s="27" t="s">
        <v>69</v>
      </c>
      <c r="D28" s="28" t="s">
        <v>17</v>
      </c>
      <c r="E28" s="28">
        <v>0.53</v>
      </c>
      <c r="F28" s="28">
        <v>0.84</v>
      </c>
      <c r="G28" s="28">
        <v>0</v>
      </c>
      <c r="H28" s="28" t="s">
        <v>20</v>
      </c>
      <c r="I28" s="28" t="s">
        <v>25</v>
      </c>
      <c r="J28" s="28" t="s">
        <v>6</v>
      </c>
      <c r="K28" s="28">
        <v>4</v>
      </c>
      <c r="L28" s="28">
        <v>20</v>
      </c>
      <c r="M28" s="31">
        <v>0</v>
      </c>
      <c r="N28" s="30">
        <v>10.721094185969715</v>
      </c>
      <c r="O28" s="29">
        <v>16.8</v>
      </c>
      <c r="P28" s="29">
        <v>198.49891611218121</v>
      </c>
      <c r="Q28" s="29">
        <v>41.692474995152537</v>
      </c>
      <c r="R28" s="28"/>
    </row>
    <row r="29" spans="1:18" x14ac:dyDescent="0.3">
      <c r="A29">
        <v>28</v>
      </c>
      <c r="B29">
        <v>1</v>
      </c>
      <c r="C29" s="27" t="s">
        <v>58</v>
      </c>
      <c r="D29" s="28" t="s">
        <v>19</v>
      </c>
      <c r="E29" s="28">
        <v>0.4</v>
      </c>
      <c r="F29" s="28">
        <v>0.7</v>
      </c>
      <c r="G29" s="28">
        <v>0</v>
      </c>
      <c r="H29" s="28" t="s">
        <v>26</v>
      </c>
      <c r="I29" s="28" t="s">
        <v>21</v>
      </c>
      <c r="J29" s="28" t="s">
        <v>6</v>
      </c>
      <c r="K29" s="28">
        <v>0</v>
      </c>
      <c r="L29" s="28">
        <v>20</v>
      </c>
      <c r="M29" s="31">
        <v>0</v>
      </c>
      <c r="N29" s="30">
        <v>10.554789935486596</v>
      </c>
      <c r="O29" s="29">
        <v>14</v>
      </c>
      <c r="P29" s="29">
        <v>35.114127651849373</v>
      </c>
      <c r="Q29" s="29">
        <v>22.88186242310875</v>
      </c>
      <c r="R29" s="28"/>
    </row>
    <row r="30" spans="1:18" x14ac:dyDescent="0.3">
      <c r="A30">
        <v>29</v>
      </c>
      <c r="B30">
        <v>1</v>
      </c>
      <c r="C30" s="27" t="s">
        <v>70</v>
      </c>
      <c r="D30" s="28" t="s">
        <v>12</v>
      </c>
      <c r="E30" s="28">
        <v>0.26</v>
      </c>
      <c r="F30" s="28">
        <v>0.78</v>
      </c>
      <c r="G30" s="28">
        <v>0</v>
      </c>
      <c r="H30" s="28" t="s">
        <v>26</v>
      </c>
      <c r="I30" s="28" t="s">
        <v>22</v>
      </c>
      <c r="J30" s="28" t="s">
        <v>6</v>
      </c>
      <c r="K30" s="28">
        <v>35</v>
      </c>
      <c r="L30" s="28">
        <v>20</v>
      </c>
      <c r="M30" s="31">
        <v>0</v>
      </c>
      <c r="N30" s="30">
        <v>4.8499861436178602</v>
      </c>
      <c r="O30" s="29">
        <v>15.600000000000001</v>
      </c>
      <c r="P30" s="29">
        <v>48.659805870907341</v>
      </c>
      <c r="Q30" s="29">
        <v>4.7795402665789988</v>
      </c>
      <c r="R30" s="28"/>
    </row>
    <row r="31" spans="1:18" x14ac:dyDescent="0.3">
      <c r="A31">
        <v>30</v>
      </c>
      <c r="B31">
        <v>1</v>
      </c>
      <c r="C31" s="27" t="s">
        <v>71</v>
      </c>
      <c r="D31" s="28" t="s">
        <v>17</v>
      </c>
      <c r="E31" s="28">
        <v>0.45</v>
      </c>
      <c r="F31" s="28">
        <v>0.79</v>
      </c>
      <c r="G31" s="28">
        <v>0</v>
      </c>
      <c r="H31" s="28" t="s">
        <v>26</v>
      </c>
      <c r="I31" s="28" t="s">
        <v>23</v>
      </c>
      <c r="J31" s="28" t="s">
        <v>6</v>
      </c>
      <c r="K31" s="28">
        <v>16</v>
      </c>
      <c r="L31" s="28">
        <v>20</v>
      </c>
      <c r="M31" s="31">
        <v>0</v>
      </c>
      <c r="N31" s="30">
        <v>8.5609815433787801</v>
      </c>
      <c r="O31" s="29">
        <v>15.8</v>
      </c>
      <c r="P31" s="29">
        <v>158.25973518287779</v>
      </c>
      <c r="Q31" s="29">
        <v>44.940748569542102</v>
      </c>
      <c r="R31" s="28"/>
    </row>
    <row r="32" spans="1:18" x14ac:dyDescent="0.3">
      <c r="A32">
        <v>31</v>
      </c>
      <c r="B32">
        <v>1</v>
      </c>
      <c r="C32" s="27" t="s">
        <v>72</v>
      </c>
      <c r="D32" s="28" t="s">
        <v>12</v>
      </c>
      <c r="E32" s="28">
        <v>0.31</v>
      </c>
      <c r="F32" s="28">
        <v>1.0900000000000001</v>
      </c>
      <c r="G32" s="28">
        <v>0</v>
      </c>
      <c r="H32" s="28" t="s">
        <v>26</v>
      </c>
      <c r="I32" s="28" t="s">
        <v>24</v>
      </c>
      <c r="J32" s="28" t="s">
        <v>6</v>
      </c>
      <c r="K32" s="28">
        <v>0</v>
      </c>
      <c r="L32" s="28">
        <v>20</v>
      </c>
      <c r="M32" s="31">
        <v>0</v>
      </c>
      <c r="N32" s="30">
        <v>8.080918727457961</v>
      </c>
      <c r="O32" s="29">
        <v>21.8</v>
      </c>
      <c r="P32" s="29">
        <v>59.454230773235942</v>
      </c>
      <c r="Q32" s="29">
        <v>3.6578773626672469</v>
      </c>
      <c r="R32" s="28"/>
    </row>
    <row r="33" spans="1:18" x14ac:dyDescent="0.3">
      <c r="A33">
        <v>32</v>
      </c>
      <c r="B33">
        <v>1</v>
      </c>
      <c r="C33" s="27" t="s">
        <v>73</v>
      </c>
      <c r="D33" s="28" t="s">
        <v>17</v>
      </c>
      <c r="E33" s="28">
        <v>0.35</v>
      </c>
      <c r="F33" s="28">
        <v>0.94</v>
      </c>
      <c r="G33" s="28">
        <v>0</v>
      </c>
      <c r="H33" s="28" t="s">
        <v>26</v>
      </c>
      <c r="I33" s="28" t="s">
        <v>25</v>
      </c>
      <c r="J33" s="28" t="s">
        <v>6</v>
      </c>
      <c r="K33" s="28">
        <v>10</v>
      </c>
      <c r="L33" s="28">
        <v>20</v>
      </c>
      <c r="M33" s="31">
        <v>0</v>
      </c>
      <c r="N33" s="30">
        <v>7.9228211751662965</v>
      </c>
      <c r="O33" s="29">
        <v>18.799999999999997</v>
      </c>
      <c r="P33" s="29">
        <v>164.86104730972119</v>
      </c>
      <c r="Q33" s="29">
        <v>37.980726354880012</v>
      </c>
      <c r="R33" s="28"/>
    </row>
    <row r="34" spans="1:18" x14ac:dyDescent="0.3">
      <c r="A34">
        <v>33</v>
      </c>
      <c r="B34">
        <v>1</v>
      </c>
      <c r="C34" s="27" t="s">
        <v>74</v>
      </c>
      <c r="D34" s="28" t="s">
        <v>12</v>
      </c>
      <c r="E34" s="28">
        <v>0.43</v>
      </c>
      <c r="F34" s="28">
        <v>0.82</v>
      </c>
      <c r="G34" s="28">
        <v>0</v>
      </c>
      <c r="H34" s="28" t="s">
        <v>20</v>
      </c>
      <c r="I34" s="28" t="s">
        <v>21</v>
      </c>
      <c r="J34" s="28" t="s">
        <v>7</v>
      </c>
      <c r="K34" s="28">
        <v>18</v>
      </c>
      <c r="L34" s="28">
        <v>20</v>
      </c>
      <c r="M34" s="31">
        <v>0</v>
      </c>
      <c r="N34" s="30">
        <v>8.4324709775131019</v>
      </c>
      <c r="O34" s="29">
        <v>16.399999999999999</v>
      </c>
      <c r="P34" s="29">
        <v>57.929644525853568</v>
      </c>
      <c r="Q34" s="29">
        <v>4.2203937543896259</v>
      </c>
      <c r="R34" s="28"/>
    </row>
    <row r="35" spans="1:18" x14ac:dyDescent="0.3">
      <c r="A35">
        <v>34</v>
      </c>
      <c r="B35">
        <v>1</v>
      </c>
      <c r="C35" s="27" t="s">
        <v>75</v>
      </c>
      <c r="D35" s="28" t="s">
        <v>19</v>
      </c>
      <c r="E35" s="28">
        <v>0.48</v>
      </c>
      <c r="F35" s="28">
        <v>1.1599999999999999</v>
      </c>
      <c r="G35" s="28">
        <v>0</v>
      </c>
      <c r="H35" s="28" t="s">
        <v>20</v>
      </c>
      <c r="I35" s="28" t="s">
        <v>22</v>
      </c>
      <c r="J35" s="28" t="s">
        <v>7</v>
      </c>
      <c r="K35" s="28">
        <v>32</v>
      </c>
      <c r="L35" s="28">
        <v>20</v>
      </c>
      <c r="M35" s="31">
        <v>0</v>
      </c>
      <c r="N35" s="30">
        <v>20.988953700281918</v>
      </c>
      <c r="O35" s="29">
        <v>23.2</v>
      </c>
      <c r="P35" s="29">
        <v>99.362006523173577</v>
      </c>
      <c r="Q35" s="29">
        <v>10.040417830385151</v>
      </c>
      <c r="R35" s="28"/>
    </row>
    <row r="36" spans="1:18" x14ac:dyDescent="0.3">
      <c r="A36">
        <v>35</v>
      </c>
      <c r="B36">
        <v>1</v>
      </c>
      <c r="C36" s="27" t="s">
        <v>76</v>
      </c>
      <c r="D36" s="28" t="s">
        <v>16</v>
      </c>
      <c r="E36" s="28">
        <v>0.6</v>
      </c>
      <c r="F36" s="28">
        <v>1.1399999999999999</v>
      </c>
      <c r="G36" s="28">
        <v>0.06</v>
      </c>
      <c r="H36" s="28" t="s">
        <v>20</v>
      </c>
      <c r="I36" s="28" t="s">
        <v>23</v>
      </c>
      <c r="J36" s="28" t="s">
        <v>7</v>
      </c>
      <c r="K36" s="28">
        <v>36</v>
      </c>
      <c r="L36" s="28">
        <v>20</v>
      </c>
      <c r="M36" s="31">
        <v>1.2E-2</v>
      </c>
      <c r="N36" s="30">
        <v>1.4828870458744021</v>
      </c>
      <c r="O36" s="29">
        <v>22.799999999999997</v>
      </c>
      <c r="P36" s="29">
        <v>26.16422458027542</v>
      </c>
      <c r="Q36" s="29">
        <v>7.8785334258730808</v>
      </c>
      <c r="R36" s="28"/>
    </row>
    <row r="37" spans="1:18" x14ac:dyDescent="0.3">
      <c r="A37">
        <v>36</v>
      </c>
      <c r="B37">
        <v>1</v>
      </c>
      <c r="C37" s="27" t="s">
        <v>59</v>
      </c>
      <c r="D37" s="28" t="s">
        <v>16</v>
      </c>
      <c r="E37" s="28">
        <v>0.4</v>
      </c>
      <c r="F37" s="28">
        <v>0.87</v>
      </c>
      <c r="G37" s="28">
        <v>0</v>
      </c>
      <c r="H37" s="28" t="s">
        <v>20</v>
      </c>
      <c r="I37" s="28" t="s">
        <v>24</v>
      </c>
      <c r="J37" s="28" t="s">
        <v>7</v>
      </c>
      <c r="K37" s="28">
        <v>20</v>
      </c>
      <c r="L37" s="28">
        <v>20</v>
      </c>
      <c r="M37" s="31">
        <v>0</v>
      </c>
      <c r="N37" s="30">
        <v>0.75445130404136251</v>
      </c>
      <c r="O37" s="29">
        <v>17.399999999999999</v>
      </c>
      <c r="P37" s="29">
        <v>26.382553030020318</v>
      </c>
      <c r="Q37" s="29">
        <v>7.9517107751359628</v>
      </c>
      <c r="R37" s="28"/>
    </row>
    <row r="38" spans="1:18" x14ac:dyDescent="0.3">
      <c r="A38">
        <v>37</v>
      </c>
      <c r="B38">
        <v>1</v>
      </c>
      <c r="C38" s="27" t="s">
        <v>77</v>
      </c>
      <c r="D38" s="28" t="s">
        <v>16</v>
      </c>
      <c r="E38" s="28">
        <v>0.14000000000000001</v>
      </c>
      <c r="F38" s="28">
        <v>1.26</v>
      </c>
      <c r="G38" s="28">
        <v>0.14000000000000001</v>
      </c>
      <c r="H38" s="28" t="s">
        <v>20</v>
      </c>
      <c r="I38" s="28" t="s">
        <v>25</v>
      </c>
      <c r="J38" s="28" t="s">
        <v>7</v>
      </c>
      <c r="K38" s="28">
        <v>0</v>
      </c>
      <c r="L38" s="28">
        <v>20</v>
      </c>
      <c r="M38" s="31">
        <v>2.8000000000000004E-2</v>
      </c>
      <c r="N38" s="30">
        <v>0.38242876446234586</v>
      </c>
      <c r="O38" s="29">
        <v>25.2</v>
      </c>
      <c r="P38" s="29">
        <v>25.128609855567039</v>
      </c>
      <c r="Q38" s="29">
        <v>7.6201227302295136</v>
      </c>
      <c r="R38" s="28"/>
    </row>
    <row r="39" spans="1:18" x14ac:dyDescent="0.3">
      <c r="A39">
        <v>38</v>
      </c>
      <c r="B39">
        <v>1</v>
      </c>
      <c r="C39" s="27" t="s">
        <v>78</v>
      </c>
      <c r="D39" s="28" t="s">
        <v>10</v>
      </c>
      <c r="E39" s="28">
        <v>0.43</v>
      </c>
      <c r="F39" s="28">
        <v>1.17</v>
      </c>
      <c r="G39" s="28">
        <v>0</v>
      </c>
      <c r="H39" s="28" t="s">
        <v>26</v>
      </c>
      <c r="I39" s="28" t="s">
        <v>21</v>
      </c>
      <c r="J39" s="28" t="s">
        <v>7</v>
      </c>
      <c r="K39" s="28">
        <v>34</v>
      </c>
      <c r="L39" s="28">
        <v>20</v>
      </c>
      <c r="M39" s="31">
        <v>0</v>
      </c>
      <c r="N39" s="30">
        <v>10.836178080534131</v>
      </c>
      <c r="O39" s="29">
        <v>23.4</v>
      </c>
      <c r="P39" s="29">
        <v>52.747799080592323</v>
      </c>
      <c r="Q39" s="29">
        <v>3.9392304192243941</v>
      </c>
      <c r="R39" s="28"/>
    </row>
    <row r="40" spans="1:18" x14ac:dyDescent="0.3">
      <c r="A40">
        <v>39</v>
      </c>
      <c r="B40">
        <v>1</v>
      </c>
      <c r="C40" s="27" t="s">
        <v>79</v>
      </c>
      <c r="D40" s="28" t="s">
        <v>16</v>
      </c>
      <c r="E40" s="28">
        <v>0.57999999999999996</v>
      </c>
      <c r="F40" s="28">
        <v>1.19</v>
      </c>
      <c r="G40" s="28">
        <v>0</v>
      </c>
      <c r="H40" s="28" t="s">
        <v>26</v>
      </c>
      <c r="I40" s="28" t="s">
        <v>22</v>
      </c>
      <c r="J40" s="28" t="s">
        <v>7</v>
      </c>
      <c r="K40" s="28">
        <v>36</v>
      </c>
      <c r="L40" s="28">
        <v>20</v>
      </c>
      <c r="M40" s="31">
        <v>0</v>
      </c>
      <c r="N40" s="30">
        <v>1.4963284196820354</v>
      </c>
      <c r="O40" s="29">
        <v>23.799999999999997</v>
      </c>
      <c r="P40" s="29">
        <v>30.894397152307821</v>
      </c>
      <c r="Q40" s="29">
        <v>6.2298402065032841</v>
      </c>
      <c r="R40" s="28"/>
    </row>
    <row r="41" spans="1:18" x14ac:dyDescent="0.3">
      <c r="A41">
        <v>40</v>
      </c>
      <c r="B41">
        <v>1</v>
      </c>
      <c r="C41" s="27" t="s">
        <v>80</v>
      </c>
      <c r="D41" s="28" t="s">
        <v>12</v>
      </c>
      <c r="E41" s="28">
        <v>0.64</v>
      </c>
      <c r="F41" s="28">
        <v>1.06</v>
      </c>
      <c r="G41" s="28">
        <v>0.3</v>
      </c>
      <c r="H41" s="28" t="s">
        <v>26</v>
      </c>
      <c r="I41" s="28" t="s">
        <v>23</v>
      </c>
      <c r="J41" s="28" t="s">
        <v>7</v>
      </c>
      <c r="K41" s="28">
        <v>32</v>
      </c>
      <c r="L41" s="28">
        <v>20</v>
      </c>
      <c r="M41" s="31">
        <v>0.06</v>
      </c>
      <c r="N41" s="30">
        <v>16.224016764449487</v>
      </c>
      <c r="O41" s="29">
        <v>21.200000000000003</v>
      </c>
      <c r="P41" s="29">
        <v>37.01765577634221</v>
      </c>
      <c r="Q41" s="29">
        <v>7.7641019007912364</v>
      </c>
      <c r="R41" s="28"/>
    </row>
    <row r="42" spans="1:18" x14ac:dyDescent="0.3">
      <c r="A42">
        <v>41</v>
      </c>
      <c r="B42">
        <v>1</v>
      </c>
      <c r="C42" s="27" t="s">
        <v>81</v>
      </c>
      <c r="D42" s="28" t="s">
        <v>16</v>
      </c>
      <c r="E42" s="28">
        <v>0.33</v>
      </c>
      <c r="F42" s="28">
        <v>1.26</v>
      </c>
      <c r="G42" s="28">
        <v>0.25</v>
      </c>
      <c r="H42" s="28" t="s">
        <v>26</v>
      </c>
      <c r="I42" s="28" t="s">
        <v>24</v>
      </c>
      <c r="J42" s="28" t="s">
        <v>7</v>
      </c>
      <c r="K42" s="28">
        <v>28</v>
      </c>
      <c r="L42" s="28">
        <v>20</v>
      </c>
      <c r="M42" s="31">
        <v>0.05</v>
      </c>
      <c r="N42" s="30">
        <v>0.90143923051838659</v>
      </c>
      <c r="O42" s="29">
        <v>25.2</v>
      </c>
      <c r="P42" s="29">
        <v>23.693394069788791</v>
      </c>
      <c r="Q42" s="29">
        <v>9.1384356291694075</v>
      </c>
      <c r="R42" s="28"/>
    </row>
    <row r="43" spans="1:18" x14ac:dyDescent="0.3">
      <c r="A43">
        <v>42</v>
      </c>
      <c r="B43">
        <v>1</v>
      </c>
      <c r="C43" s="27" t="s">
        <v>82</v>
      </c>
      <c r="D43" s="28" t="s">
        <v>12</v>
      </c>
      <c r="E43" s="28">
        <v>0.49</v>
      </c>
      <c r="F43" s="28">
        <v>1.23</v>
      </c>
      <c r="G43" s="28">
        <v>0.4</v>
      </c>
      <c r="H43" s="28" t="s">
        <v>26</v>
      </c>
      <c r="I43" s="28" t="s">
        <v>25</v>
      </c>
      <c r="J43" s="28" t="s">
        <v>7</v>
      </c>
      <c r="K43" s="28">
        <v>33</v>
      </c>
      <c r="L43" s="28">
        <v>20</v>
      </c>
      <c r="M43" s="31">
        <v>0.08</v>
      </c>
      <c r="N43" s="30">
        <v>14.413642252260768</v>
      </c>
      <c r="O43" s="29">
        <v>24.6</v>
      </c>
      <c r="P43" s="29">
        <v>56.24651625275753</v>
      </c>
      <c r="Q43" s="29">
        <v>4.9593105404671869</v>
      </c>
      <c r="R43" s="28"/>
    </row>
    <row r="44" spans="1:18" x14ac:dyDescent="0.3">
      <c r="A44">
        <v>43</v>
      </c>
      <c r="B44">
        <v>2</v>
      </c>
      <c r="C44" s="27" t="s">
        <v>83</v>
      </c>
      <c r="D44" s="28" t="s">
        <v>10</v>
      </c>
      <c r="E44" s="28">
        <v>0.54</v>
      </c>
      <c r="F44" s="28">
        <v>0.82</v>
      </c>
      <c r="G44" s="28">
        <v>0</v>
      </c>
      <c r="H44" s="28" t="s">
        <v>20</v>
      </c>
      <c r="I44" s="28" t="s">
        <v>21</v>
      </c>
      <c r="J44" s="28" t="s">
        <v>6</v>
      </c>
      <c r="K44" s="28">
        <v>15</v>
      </c>
      <c r="L44" s="28">
        <v>20</v>
      </c>
      <c r="M44" s="31">
        <v>0</v>
      </c>
      <c r="N44" s="30">
        <v>9.5373875055863895</v>
      </c>
      <c r="O44" s="29">
        <v>16.399999999999999</v>
      </c>
      <c r="P44" s="29">
        <v>55.923933308167179</v>
      </c>
      <c r="Q44" s="29">
        <v>4.1851078369429251</v>
      </c>
      <c r="R44" s="28"/>
    </row>
    <row r="45" spans="1:18" x14ac:dyDescent="0.3">
      <c r="A45">
        <v>44</v>
      </c>
      <c r="B45">
        <v>2</v>
      </c>
      <c r="C45" s="27" t="s">
        <v>84</v>
      </c>
      <c r="D45" s="28" t="s">
        <v>17</v>
      </c>
      <c r="E45" s="28">
        <v>0.68</v>
      </c>
      <c r="F45" s="28">
        <v>0.89</v>
      </c>
      <c r="G45" s="28">
        <v>0</v>
      </c>
      <c r="H45" s="28" t="s">
        <v>20</v>
      </c>
      <c r="I45" s="28" t="s">
        <v>22</v>
      </c>
      <c r="J45" s="28" t="s">
        <v>6</v>
      </c>
      <c r="K45" s="28">
        <v>10</v>
      </c>
      <c r="L45" s="28">
        <v>20</v>
      </c>
      <c r="M45" s="31">
        <v>0</v>
      </c>
      <c r="N45" s="30">
        <v>14.574137918573387</v>
      </c>
      <c r="O45" s="29">
        <v>17.8</v>
      </c>
      <c r="P45" s="29">
        <v>167.626919071597</v>
      </c>
      <c r="Q45" s="29">
        <v>60.596652716485707</v>
      </c>
      <c r="R45" s="28"/>
    </row>
    <row r="46" spans="1:18" ht="15.6" x14ac:dyDescent="0.3">
      <c r="A46">
        <v>45</v>
      </c>
      <c r="B46">
        <v>2</v>
      </c>
      <c r="C46" s="27" t="s">
        <v>138</v>
      </c>
      <c r="D46" s="28" t="s">
        <v>19</v>
      </c>
      <c r="E46" s="28">
        <v>0.51</v>
      </c>
      <c r="F46" s="28">
        <v>1.5</v>
      </c>
      <c r="G46" s="28">
        <v>0</v>
      </c>
      <c r="H46" s="28" t="s">
        <v>20</v>
      </c>
      <c r="I46" s="28" t="s">
        <v>23</v>
      </c>
      <c r="J46" s="28" t="s">
        <v>6</v>
      </c>
      <c r="K46" s="28">
        <v>0</v>
      </c>
      <c r="L46" s="28">
        <v>20</v>
      </c>
      <c r="M46" s="31">
        <v>0</v>
      </c>
      <c r="N46" s="30">
        <v>28.837193930883025</v>
      </c>
      <c r="O46" s="29">
        <v>30</v>
      </c>
      <c r="P46" s="29">
        <v>153.7379066257804</v>
      </c>
      <c r="Q46" s="29">
        <v>7.0358546197945522</v>
      </c>
      <c r="R46" s="28"/>
    </row>
    <row r="47" spans="1:18" x14ac:dyDescent="0.3">
      <c r="A47">
        <v>46</v>
      </c>
      <c r="B47">
        <v>2</v>
      </c>
      <c r="C47" s="27" t="s">
        <v>60</v>
      </c>
      <c r="D47" s="28" t="s">
        <v>18</v>
      </c>
      <c r="E47" s="28">
        <v>0.9</v>
      </c>
      <c r="F47" s="28">
        <v>0.7</v>
      </c>
      <c r="G47" s="28">
        <v>3</v>
      </c>
      <c r="H47" s="28" t="s">
        <v>20</v>
      </c>
      <c r="I47" s="28" t="s">
        <v>24</v>
      </c>
      <c r="J47" s="28" t="s">
        <v>6</v>
      </c>
      <c r="K47" s="28">
        <v>0</v>
      </c>
      <c r="L47" s="28">
        <v>20</v>
      </c>
      <c r="M47" s="31">
        <v>0.6</v>
      </c>
      <c r="N47" s="30">
        <v>15.509456337230475</v>
      </c>
      <c r="O47" s="29">
        <v>14</v>
      </c>
      <c r="P47" s="29">
        <v>69.938328665940375</v>
      </c>
      <c r="Q47" s="29">
        <v>15.41589815328201</v>
      </c>
      <c r="R47" s="28"/>
    </row>
    <row r="48" spans="1:18" x14ac:dyDescent="0.3">
      <c r="A48">
        <v>47</v>
      </c>
      <c r="B48">
        <v>2</v>
      </c>
      <c r="C48" s="27" t="s">
        <v>85</v>
      </c>
      <c r="D48" s="28" t="s">
        <v>10</v>
      </c>
      <c r="E48" s="28">
        <v>0.9</v>
      </c>
      <c r="F48" s="28">
        <v>0.7</v>
      </c>
      <c r="G48" s="28">
        <v>3</v>
      </c>
      <c r="H48" s="28" t="s">
        <v>20</v>
      </c>
      <c r="I48" s="28" t="s">
        <v>25</v>
      </c>
      <c r="J48" s="28" t="s">
        <v>6</v>
      </c>
      <c r="K48" s="28">
        <v>0</v>
      </c>
      <c r="L48" s="28">
        <v>20</v>
      </c>
      <c r="M48" s="31">
        <v>0.6</v>
      </c>
      <c r="N48" s="30">
        <v>13.569453768110719</v>
      </c>
      <c r="O48" s="29">
        <v>14</v>
      </c>
      <c r="P48" s="29">
        <v>72.052330211547783</v>
      </c>
      <c r="Q48" s="29">
        <v>9.7345190148377156</v>
      </c>
      <c r="R48" s="28"/>
    </row>
    <row r="49" spans="1:18" x14ac:dyDescent="0.3">
      <c r="A49">
        <v>48</v>
      </c>
      <c r="B49">
        <v>2</v>
      </c>
      <c r="C49" s="27" t="s">
        <v>86</v>
      </c>
      <c r="D49" s="28" t="s">
        <v>18</v>
      </c>
      <c r="E49" s="28">
        <v>0.68</v>
      </c>
      <c r="F49" s="28">
        <v>1.1299999999999999</v>
      </c>
      <c r="G49" s="28">
        <v>0</v>
      </c>
      <c r="H49" s="28" t="s">
        <v>26</v>
      </c>
      <c r="I49" s="28" t="s">
        <v>21</v>
      </c>
      <c r="J49" s="28" t="s">
        <v>6</v>
      </c>
      <c r="K49" s="28">
        <v>29</v>
      </c>
      <c r="L49" s="28">
        <v>20</v>
      </c>
      <c r="M49" s="31">
        <v>0</v>
      </c>
      <c r="N49" s="30">
        <v>18.916613094488724</v>
      </c>
      <c r="O49" s="29">
        <v>22.599999999999998</v>
      </c>
      <c r="P49" s="29">
        <v>79.001720537837869</v>
      </c>
      <c r="Q49" s="29">
        <v>7.8206321698429733</v>
      </c>
      <c r="R49" s="28"/>
    </row>
    <row r="50" spans="1:18" x14ac:dyDescent="0.3">
      <c r="A50">
        <v>49</v>
      </c>
      <c r="B50">
        <v>2</v>
      </c>
      <c r="C50" s="27" t="s">
        <v>87</v>
      </c>
      <c r="D50" s="28" t="s">
        <v>19</v>
      </c>
      <c r="E50" s="28">
        <v>0.14000000000000001</v>
      </c>
      <c r="F50" s="28">
        <v>1.43</v>
      </c>
      <c r="G50" s="28">
        <v>1</v>
      </c>
      <c r="H50" s="28" t="s">
        <v>26</v>
      </c>
      <c r="I50" s="28" t="s">
        <v>22</v>
      </c>
      <c r="J50" s="28" t="s">
        <v>6</v>
      </c>
      <c r="K50" s="28">
        <v>0</v>
      </c>
      <c r="L50" s="28">
        <v>20</v>
      </c>
      <c r="M50" s="31">
        <v>0.2</v>
      </c>
      <c r="N50" s="30">
        <v>7.546674803872917</v>
      </c>
      <c r="O50" s="29">
        <v>28.599999999999998</v>
      </c>
      <c r="P50" s="29">
        <v>74.03549668004095</v>
      </c>
      <c r="Q50" s="29">
        <v>8.3856286993397422</v>
      </c>
      <c r="R50" s="28"/>
    </row>
    <row r="51" spans="1:18" x14ac:dyDescent="0.3">
      <c r="A51">
        <v>50</v>
      </c>
      <c r="B51">
        <v>2</v>
      </c>
      <c r="C51" s="27" t="s">
        <v>88</v>
      </c>
      <c r="D51" s="28" t="s">
        <v>11</v>
      </c>
      <c r="E51" s="28">
        <v>0.63</v>
      </c>
      <c r="F51" s="28">
        <v>0.82</v>
      </c>
      <c r="G51" s="28">
        <v>0</v>
      </c>
      <c r="H51" s="28" t="s">
        <v>26</v>
      </c>
      <c r="I51" s="28" t="s">
        <v>23</v>
      </c>
      <c r="J51" s="28" t="s">
        <v>6</v>
      </c>
      <c r="K51" s="28">
        <v>29</v>
      </c>
      <c r="L51" s="28">
        <v>20</v>
      </c>
      <c r="M51" s="31">
        <v>0</v>
      </c>
      <c r="N51" s="30">
        <v>15.884730731115871</v>
      </c>
      <c r="O51" s="29">
        <v>16.399999999999999</v>
      </c>
      <c r="P51" s="29">
        <v>133.6301903168665</v>
      </c>
      <c r="Q51" s="29">
        <v>41.970924590853627</v>
      </c>
      <c r="R51" s="28"/>
    </row>
    <row r="52" spans="1:18" x14ac:dyDescent="0.3">
      <c r="A52">
        <v>51</v>
      </c>
      <c r="B52">
        <v>2</v>
      </c>
      <c r="C52" s="27" t="s">
        <v>89</v>
      </c>
      <c r="D52" s="28" t="s">
        <v>17</v>
      </c>
      <c r="E52" s="28">
        <v>0.74</v>
      </c>
      <c r="F52" s="28">
        <v>0.96</v>
      </c>
      <c r="G52" s="28">
        <v>0.18</v>
      </c>
      <c r="H52" s="28" t="s">
        <v>26</v>
      </c>
      <c r="I52" s="28" t="s">
        <v>24</v>
      </c>
      <c r="J52" s="28" t="s">
        <v>6</v>
      </c>
      <c r="K52" s="28">
        <v>14</v>
      </c>
      <c r="L52" s="28">
        <v>20</v>
      </c>
      <c r="M52" s="31">
        <v>3.5999999999999997E-2</v>
      </c>
      <c r="N52" s="30">
        <v>17.107514172760297</v>
      </c>
      <c r="O52" s="29">
        <v>19.2</v>
      </c>
      <c r="P52" s="29">
        <v>280.19360324160539</v>
      </c>
      <c r="Q52" s="29">
        <v>39.557933792863821</v>
      </c>
      <c r="R52" s="28"/>
    </row>
    <row r="53" spans="1:18" x14ac:dyDescent="0.3">
      <c r="A53">
        <v>52</v>
      </c>
      <c r="B53">
        <v>2</v>
      </c>
      <c r="C53" s="27" t="s">
        <v>90</v>
      </c>
      <c r="D53" s="28" t="s">
        <v>10</v>
      </c>
      <c r="E53" s="28">
        <v>0.78</v>
      </c>
      <c r="F53" s="28">
        <v>1.1499999999999999</v>
      </c>
      <c r="G53" s="28">
        <v>2.8</v>
      </c>
      <c r="H53" s="28" t="s">
        <v>26</v>
      </c>
      <c r="I53" s="28" t="s">
        <v>25</v>
      </c>
      <c r="J53" s="28" t="s">
        <v>6</v>
      </c>
      <c r="K53" s="28">
        <v>0</v>
      </c>
      <c r="L53" s="28">
        <v>20</v>
      </c>
      <c r="M53" s="31">
        <v>0.56000000000000005</v>
      </c>
      <c r="N53" s="30">
        <v>19.320317507929072</v>
      </c>
      <c r="O53" s="29">
        <v>23</v>
      </c>
      <c r="P53" s="29">
        <v>120.7215748473278</v>
      </c>
      <c r="Q53" s="29">
        <v>4.5423349407134914</v>
      </c>
      <c r="R53" s="28"/>
    </row>
    <row r="54" spans="1:18" x14ac:dyDescent="0.3">
      <c r="A54">
        <v>53</v>
      </c>
      <c r="B54">
        <v>2</v>
      </c>
      <c r="C54" s="27" t="s">
        <v>91</v>
      </c>
      <c r="D54" s="28" t="s">
        <v>19</v>
      </c>
      <c r="E54" s="28">
        <v>0.3</v>
      </c>
      <c r="F54" s="28">
        <v>0.7</v>
      </c>
      <c r="G54" s="28">
        <v>0</v>
      </c>
      <c r="H54" s="28" t="s">
        <v>20</v>
      </c>
      <c r="I54" s="28" t="s">
        <v>21</v>
      </c>
      <c r="J54" s="28" t="s">
        <v>7</v>
      </c>
      <c r="K54" s="28">
        <v>0</v>
      </c>
      <c r="L54" s="28">
        <v>20</v>
      </c>
      <c r="M54" s="31">
        <v>0</v>
      </c>
      <c r="N54" s="30">
        <v>7.9160924516149471</v>
      </c>
      <c r="O54" s="29">
        <v>14</v>
      </c>
      <c r="P54" s="29">
        <v>42.274624116336163</v>
      </c>
      <c r="Q54" s="29">
        <v>16.18197467852022</v>
      </c>
      <c r="R54" s="28"/>
    </row>
    <row r="55" spans="1:18" x14ac:dyDescent="0.3">
      <c r="A55">
        <v>54</v>
      </c>
      <c r="B55">
        <v>2</v>
      </c>
      <c r="C55" s="27" t="s">
        <v>92</v>
      </c>
      <c r="D55" s="28" t="s">
        <v>16</v>
      </c>
      <c r="E55" s="28">
        <v>0.56000000000000005</v>
      </c>
      <c r="F55" s="28">
        <v>0.85</v>
      </c>
      <c r="G55" s="28">
        <v>0</v>
      </c>
      <c r="H55" s="28" t="s">
        <v>20</v>
      </c>
      <c r="I55" s="28" t="s">
        <v>22</v>
      </c>
      <c r="J55" s="28" t="s">
        <v>7</v>
      </c>
      <c r="K55" s="28">
        <v>33</v>
      </c>
      <c r="L55" s="28">
        <v>20</v>
      </c>
      <c r="M55" s="31">
        <v>0</v>
      </c>
      <c r="N55" s="30">
        <v>1.031950634263473</v>
      </c>
      <c r="O55" s="29">
        <v>17</v>
      </c>
      <c r="P55" s="29">
        <v>32.678938099924537</v>
      </c>
      <c r="Q55" s="29">
        <v>6.6389322877375383</v>
      </c>
      <c r="R55" s="28"/>
    </row>
    <row r="56" spans="1:18" x14ac:dyDescent="0.3">
      <c r="A56">
        <v>55</v>
      </c>
      <c r="B56">
        <v>2</v>
      </c>
      <c r="C56" s="27" t="s">
        <v>93</v>
      </c>
      <c r="D56" s="28" t="s">
        <v>12</v>
      </c>
      <c r="E56" s="28">
        <v>0.18</v>
      </c>
      <c r="F56" s="28">
        <v>0.98</v>
      </c>
      <c r="G56" s="28">
        <v>0</v>
      </c>
      <c r="H56" s="28" t="s">
        <v>20</v>
      </c>
      <c r="I56" s="28" t="s">
        <v>23</v>
      </c>
      <c r="J56" s="28" t="s">
        <v>7</v>
      </c>
      <c r="K56" s="28">
        <v>21</v>
      </c>
      <c r="L56" s="28">
        <v>20</v>
      </c>
      <c r="M56" s="31">
        <v>0</v>
      </c>
      <c r="N56" s="30">
        <v>4.2186270006616882</v>
      </c>
      <c r="O56" s="29">
        <v>19.600000000000001</v>
      </c>
      <c r="P56" s="29">
        <v>58.368322008494872</v>
      </c>
      <c r="Q56" s="29">
        <v>3.5828496136982508</v>
      </c>
      <c r="R56" s="28"/>
    </row>
    <row r="57" spans="1:18" x14ac:dyDescent="0.3">
      <c r="A57">
        <v>56</v>
      </c>
      <c r="B57">
        <v>2</v>
      </c>
      <c r="C57" s="27" t="s">
        <v>94</v>
      </c>
      <c r="D57" s="28" t="s">
        <v>12</v>
      </c>
      <c r="E57" s="28">
        <v>0.9</v>
      </c>
      <c r="F57" s="28">
        <v>0.95</v>
      </c>
      <c r="G57" s="28">
        <v>0</v>
      </c>
      <c r="H57" s="28" t="s">
        <v>20</v>
      </c>
      <c r="I57" s="28" t="s">
        <v>24</v>
      </c>
      <c r="J57" s="28" t="s">
        <v>7</v>
      </c>
      <c r="K57" s="28">
        <v>0</v>
      </c>
      <c r="L57" s="28">
        <v>20</v>
      </c>
      <c r="M57" s="31">
        <v>0</v>
      </c>
      <c r="N57" s="30">
        <v>20.447426788921447</v>
      </c>
      <c r="O57" s="29">
        <v>19</v>
      </c>
      <c r="P57" s="29">
        <v>1.2210903740962959</v>
      </c>
      <c r="Q57" s="29">
        <v>222.75708445532501</v>
      </c>
      <c r="R57" s="28" t="s">
        <v>40</v>
      </c>
    </row>
    <row r="58" spans="1:18" x14ac:dyDescent="0.3">
      <c r="A58">
        <v>57</v>
      </c>
      <c r="B58">
        <v>2</v>
      </c>
      <c r="C58" s="27" t="s">
        <v>95</v>
      </c>
      <c r="D58" s="28" t="s">
        <v>14</v>
      </c>
      <c r="E58" s="28">
        <v>0.1</v>
      </c>
      <c r="F58" s="28">
        <v>1</v>
      </c>
      <c r="G58" s="28">
        <v>0</v>
      </c>
      <c r="H58" s="28" t="s">
        <v>20</v>
      </c>
      <c r="I58" s="28" t="s">
        <v>25</v>
      </c>
      <c r="J58" s="28" t="s">
        <v>7</v>
      </c>
      <c r="K58" s="28">
        <v>2</v>
      </c>
      <c r="L58" s="28">
        <v>20</v>
      </c>
      <c r="M58" s="31">
        <v>0</v>
      </c>
      <c r="N58" s="30">
        <v>1.4997706275884042</v>
      </c>
      <c r="O58" s="29">
        <v>20</v>
      </c>
      <c r="P58" s="29">
        <v>39.83845933014068</v>
      </c>
      <c r="Q58" s="29">
        <v>4.8992611487888453</v>
      </c>
      <c r="R58" s="28"/>
    </row>
    <row r="59" spans="1:18" x14ac:dyDescent="0.3">
      <c r="A59">
        <v>58</v>
      </c>
      <c r="B59">
        <v>2</v>
      </c>
      <c r="C59" s="27" t="s">
        <v>96</v>
      </c>
      <c r="D59" s="28" t="s">
        <v>14</v>
      </c>
      <c r="E59" s="28">
        <v>0.38</v>
      </c>
      <c r="F59" s="28">
        <v>0.82</v>
      </c>
      <c r="G59" s="28">
        <v>0</v>
      </c>
      <c r="H59" s="28" t="s">
        <v>26</v>
      </c>
      <c r="I59" s="28" t="s">
        <v>21</v>
      </c>
      <c r="J59" s="28" t="s">
        <v>7</v>
      </c>
      <c r="K59" s="28">
        <v>0</v>
      </c>
      <c r="L59" s="28">
        <v>20</v>
      </c>
      <c r="M59" s="31">
        <v>0</v>
      </c>
      <c r="N59" s="30">
        <v>4.6732852755654664</v>
      </c>
      <c r="O59" s="29">
        <v>16.399999999999999</v>
      </c>
      <c r="P59" s="29">
        <v>12.3365926595672</v>
      </c>
      <c r="Q59" s="29">
        <v>19.090846609511331</v>
      </c>
      <c r="R59" s="28"/>
    </row>
    <row r="60" spans="1:18" x14ac:dyDescent="0.3">
      <c r="A60">
        <v>59</v>
      </c>
      <c r="B60">
        <v>2</v>
      </c>
      <c r="C60" s="27" t="s">
        <v>97</v>
      </c>
      <c r="D60" s="28" t="s">
        <v>9</v>
      </c>
      <c r="E60" s="28">
        <v>0.37</v>
      </c>
      <c r="F60" s="28">
        <v>1.17</v>
      </c>
      <c r="G60" s="28">
        <v>0</v>
      </c>
      <c r="H60" s="28" t="s">
        <v>26</v>
      </c>
      <c r="I60" s="28" t="s">
        <v>22</v>
      </c>
      <c r="J60" s="28" t="s">
        <v>7</v>
      </c>
      <c r="K60" s="28">
        <v>0</v>
      </c>
      <c r="L60" s="28">
        <v>20</v>
      </c>
      <c r="M60" s="31">
        <v>0</v>
      </c>
      <c r="N60" s="30">
        <v>6.3291569640103686</v>
      </c>
      <c r="O60" s="29">
        <v>23.4</v>
      </c>
      <c r="P60" s="29">
        <v>33.686094653397973</v>
      </c>
      <c r="Q60" s="29">
        <v>7.1189157374022756</v>
      </c>
      <c r="R60" s="28"/>
    </row>
    <row r="61" spans="1:18" x14ac:dyDescent="0.3">
      <c r="A61">
        <v>60</v>
      </c>
      <c r="B61">
        <v>2</v>
      </c>
      <c r="C61" s="27" t="s">
        <v>98</v>
      </c>
      <c r="D61" s="28" t="s">
        <v>10</v>
      </c>
      <c r="E61" s="28">
        <v>0.22</v>
      </c>
      <c r="F61" s="28">
        <v>1.07</v>
      </c>
      <c r="G61" s="28">
        <v>0</v>
      </c>
      <c r="H61" s="28" t="s">
        <v>26</v>
      </c>
      <c r="I61" s="28" t="s">
        <v>23</v>
      </c>
      <c r="J61" s="28" t="s">
        <v>7</v>
      </c>
      <c r="K61" s="28">
        <v>1</v>
      </c>
      <c r="L61" s="28">
        <v>20</v>
      </c>
      <c r="M61" s="31">
        <v>0</v>
      </c>
      <c r="N61" s="30">
        <v>5.070237169862323</v>
      </c>
      <c r="O61" s="29">
        <v>21.400000000000002</v>
      </c>
      <c r="P61" s="29">
        <v>48.822631959179837</v>
      </c>
      <c r="Q61" s="29">
        <v>4.0459133763726509</v>
      </c>
      <c r="R61" s="28"/>
    </row>
    <row r="62" spans="1:18" x14ac:dyDescent="0.3">
      <c r="A62">
        <v>61</v>
      </c>
      <c r="B62">
        <v>2</v>
      </c>
      <c r="C62" s="27" t="s">
        <v>99</v>
      </c>
      <c r="D62" s="28" t="s">
        <v>12</v>
      </c>
      <c r="E62" s="28">
        <v>0.22</v>
      </c>
      <c r="F62" s="28">
        <v>1.1200000000000001</v>
      </c>
      <c r="G62" s="28">
        <v>1.26</v>
      </c>
      <c r="H62" s="28" t="s">
        <v>26</v>
      </c>
      <c r="I62" s="28" t="s">
        <v>24</v>
      </c>
      <c r="J62" s="28" t="s">
        <v>7</v>
      </c>
      <c r="K62" s="28">
        <v>10</v>
      </c>
      <c r="L62" s="28">
        <v>20</v>
      </c>
      <c r="M62" s="31">
        <v>0.252</v>
      </c>
      <c r="N62" s="30">
        <v>5.8926853342575969</v>
      </c>
      <c r="O62" s="29">
        <v>22.400000000000002</v>
      </c>
      <c r="P62" s="29">
        <v>57.94385555805907</v>
      </c>
      <c r="Q62" s="29">
        <v>6.7471818700230406</v>
      </c>
      <c r="R62" s="28"/>
    </row>
    <row r="63" spans="1:18" x14ac:dyDescent="0.3">
      <c r="A63">
        <v>62</v>
      </c>
      <c r="B63">
        <v>2</v>
      </c>
      <c r="C63" s="27" t="s">
        <v>100</v>
      </c>
      <c r="D63" s="28" t="s">
        <v>14</v>
      </c>
      <c r="E63" s="28">
        <v>0.33</v>
      </c>
      <c r="F63" s="28">
        <v>1.02</v>
      </c>
      <c r="G63" s="28">
        <v>0</v>
      </c>
      <c r="H63" s="28" t="s">
        <v>26</v>
      </c>
      <c r="I63" s="28" t="s">
        <v>25</v>
      </c>
      <c r="J63" s="28" t="s">
        <v>7</v>
      </c>
      <c r="K63" s="28">
        <v>24</v>
      </c>
      <c r="L63" s="28">
        <v>20</v>
      </c>
      <c r="M63" s="31">
        <v>0</v>
      </c>
      <c r="N63" s="30">
        <v>5.0482279324625674</v>
      </c>
      <c r="O63" s="29">
        <v>20.399999999999999</v>
      </c>
      <c r="P63" s="29">
        <v>12.030812482223331</v>
      </c>
      <c r="Q63" s="29">
        <v>18.089913705487199</v>
      </c>
      <c r="R63" s="28"/>
    </row>
    <row r="64" spans="1:18" x14ac:dyDescent="0.3">
      <c r="A64">
        <v>63</v>
      </c>
      <c r="B64">
        <v>3</v>
      </c>
      <c r="C64" s="27" t="s">
        <v>101</v>
      </c>
      <c r="D64" s="28" t="s">
        <v>17</v>
      </c>
      <c r="E64" s="28">
        <v>0.76</v>
      </c>
      <c r="F64" s="28">
        <v>1.1499999999999999</v>
      </c>
      <c r="G64" s="28">
        <v>0.15</v>
      </c>
      <c r="H64" s="28" t="s">
        <v>20</v>
      </c>
      <c r="I64" s="28" t="s">
        <v>21</v>
      </c>
      <c r="J64" s="28" t="s">
        <v>6</v>
      </c>
      <c r="K64" s="28">
        <v>10</v>
      </c>
      <c r="L64" s="28">
        <v>20</v>
      </c>
      <c r="M64" s="31">
        <v>0.03</v>
      </c>
      <c r="N64" s="30">
        <v>21.047251389347551</v>
      </c>
      <c r="O64" s="29">
        <v>23</v>
      </c>
      <c r="P64" s="29">
        <v>379.93286860000001</v>
      </c>
      <c r="Q64" s="29">
        <v>31.470320510000001</v>
      </c>
      <c r="R64" s="28"/>
    </row>
    <row r="65" spans="1:18" x14ac:dyDescent="0.3">
      <c r="A65">
        <v>64</v>
      </c>
      <c r="B65">
        <v>3</v>
      </c>
      <c r="C65" s="27" t="s">
        <v>139</v>
      </c>
      <c r="D65" s="28" t="s">
        <v>17</v>
      </c>
      <c r="E65" s="28">
        <v>0.89</v>
      </c>
      <c r="F65" s="28">
        <v>1.2</v>
      </c>
      <c r="G65" s="28">
        <v>0.48</v>
      </c>
      <c r="H65" s="28" t="s">
        <v>20</v>
      </c>
      <c r="I65" s="28" t="s">
        <v>22</v>
      </c>
      <c r="J65" s="28" t="s">
        <v>6</v>
      </c>
      <c r="K65" s="28">
        <v>28</v>
      </c>
      <c r="L65" s="28">
        <v>20</v>
      </c>
      <c r="M65" s="31">
        <v>9.6000000000000002E-2</v>
      </c>
      <c r="N65" s="30">
        <v>25.719066915129499</v>
      </c>
      <c r="O65" s="29">
        <v>24</v>
      </c>
      <c r="P65" s="29">
        <v>481.96978589999998</v>
      </c>
      <c r="Q65" s="29">
        <v>27.838036460000001</v>
      </c>
      <c r="R65" s="28"/>
    </row>
    <row r="66" spans="1:18" x14ac:dyDescent="0.3">
      <c r="A66">
        <v>65</v>
      </c>
      <c r="B66">
        <v>3</v>
      </c>
      <c r="C66" s="27" t="s">
        <v>102</v>
      </c>
      <c r="D66" s="28" t="s">
        <v>17</v>
      </c>
      <c r="E66" s="28">
        <v>0.9</v>
      </c>
      <c r="F66" s="28">
        <v>0.7</v>
      </c>
      <c r="G66" s="28">
        <v>0</v>
      </c>
      <c r="H66" s="28" t="s">
        <v>20</v>
      </c>
      <c r="I66" s="28" t="s">
        <v>23</v>
      </c>
      <c r="J66" s="28" t="s">
        <v>6</v>
      </c>
      <c r="K66" s="28">
        <v>25</v>
      </c>
      <c r="L66" s="28">
        <v>20</v>
      </c>
      <c r="M66" s="31">
        <v>0</v>
      </c>
      <c r="N66" s="30">
        <v>15.171359697126954</v>
      </c>
      <c r="O66" s="29">
        <v>14</v>
      </c>
      <c r="P66" s="29">
        <v>262.750632</v>
      </c>
      <c r="Q66" s="29">
        <v>42.838859659999997</v>
      </c>
      <c r="R66" s="28"/>
    </row>
    <row r="67" spans="1:18" x14ac:dyDescent="0.3">
      <c r="A67">
        <v>66</v>
      </c>
      <c r="B67">
        <v>3</v>
      </c>
      <c r="C67" s="27" t="s">
        <v>103</v>
      </c>
      <c r="D67" s="28" t="s">
        <v>17</v>
      </c>
      <c r="E67" s="28">
        <v>0.48</v>
      </c>
      <c r="F67" s="28">
        <v>1.5</v>
      </c>
      <c r="G67" s="28">
        <v>0</v>
      </c>
      <c r="H67" s="28" t="s">
        <v>20</v>
      </c>
      <c r="I67" s="28" t="s">
        <v>24</v>
      </c>
      <c r="J67" s="28" t="s">
        <v>6</v>
      </c>
      <c r="K67" s="28">
        <v>12</v>
      </c>
      <c r="L67" s="28">
        <v>20</v>
      </c>
      <c r="M67" s="31">
        <v>0</v>
      </c>
      <c r="N67" s="30">
        <v>17.338696796716516</v>
      </c>
      <c r="O67" s="29">
        <v>30</v>
      </c>
      <c r="P67" s="29">
        <v>249.21124940000001</v>
      </c>
      <c r="Q67" s="29">
        <v>37.637088329999997</v>
      </c>
      <c r="R67" s="28"/>
    </row>
    <row r="68" spans="1:18" x14ac:dyDescent="0.3">
      <c r="A68">
        <v>67</v>
      </c>
      <c r="B68">
        <v>3</v>
      </c>
      <c r="C68" s="27" t="s">
        <v>104</v>
      </c>
      <c r="D68" s="28" t="s">
        <v>11</v>
      </c>
      <c r="E68" s="28">
        <v>0.45</v>
      </c>
      <c r="F68" s="28">
        <v>0.83</v>
      </c>
      <c r="G68" s="28">
        <v>0</v>
      </c>
      <c r="H68" s="28" t="s">
        <v>20</v>
      </c>
      <c r="I68" s="28" t="s">
        <v>25</v>
      </c>
      <c r="J68" s="28" t="s">
        <v>6</v>
      </c>
      <c r="K68" s="28">
        <v>16</v>
      </c>
      <c r="L68" s="28">
        <v>20</v>
      </c>
      <c r="M68" s="31">
        <v>0</v>
      </c>
      <c r="N68" s="30">
        <v>11.484604971102938</v>
      </c>
      <c r="O68" s="29">
        <v>16.599999999999998</v>
      </c>
      <c r="P68" s="29">
        <v>87.601261039999997</v>
      </c>
      <c r="Q68" s="29">
        <v>50.81400438</v>
      </c>
      <c r="R68" s="28"/>
    </row>
    <row r="69" spans="1:18" x14ac:dyDescent="0.3">
      <c r="A69">
        <v>68</v>
      </c>
      <c r="B69">
        <v>3</v>
      </c>
      <c r="C69" s="27" t="s">
        <v>105</v>
      </c>
      <c r="D69" s="28" t="s">
        <v>13</v>
      </c>
      <c r="E69" s="28">
        <v>0.56999999999999995</v>
      </c>
      <c r="F69" s="28">
        <v>1.1299999999999999</v>
      </c>
      <c r="G69" s="28">
        <v>2.4700000000000002</v>
      </c>
      <c r="H69" s="28" t="s">
        <v>26</v>
      </c>
      <c r="I69" s="28" t="s">
        <v>21</v>
      </c>
      <c r="J69" s="28" t="s">
        <v>6</v>
      </c>
      <c r="K69" s="28">
        <v>0</v>
      </c>
      <c r="L69" s="28">
        <v>20</v>
      </c>
      <c r="M69" s="31">
        <v>0.49400000000000005</v>
      </c>
      <c r="N69" s="30">
        <v>4.4334422081461557</v>
      </c>
      <c r="O69" s="29">
        <v>22.599999999999998</v>
      </c>
      <c r="P69" s="29">
        <v>5.1207972939999999</v>
      </c>
      <c r="Q69" s="29">
        <v>201.69131049999999</v>
      </c>
      <c r="R69" s="28"/>
    </row>
    <row r="70" spans="1:18" x14ac:dyDescent="0.3">
      <c r="A70">
        <v>69</v>
      </c>
      <c r="B70">
        <v>3</v>
      </c>
      <c r="C70" s="27" t="s">
        <v>106</v>
      </c>
      <c r="D70" s="28" t="s">
        <v>17</v>
      </c>
      <c r="E70" s="28">
        <v>0.55000000000000004</v>
      </c>
      <c r="F70" s="28">
        <v>1.1499999999999999</v>
      </c>
      <c r="G70" s="28">
        <v>0.16</v>
      </c>
      <c r="H70" s="28" t="s">
        <v>26</v>
      </c>
      <c r="I70" s="28" t="s">
        <v>22</v>
      </c>
      <c r="J70" s="28" t="s">
        <v>6</v>
      </c>
      <c r="K70" s="28">
        <v>10</v>
      </c>
      <c r="L70" s="28">
        <v>20</v>
      </c>
      <c r="M70" s="31">
        <v>3.2000000000000001E-2</v>
      </c>
      <c r="N70" s="30">
        <v>15.231563505448886</v>
      </c>
      <c r="O70" s="29">
        <v>23</v>
      </c>
      <c r="P70" s="29">
        <v>280.26834869999999</v>
      </c>
      <c r="Q70" s="29">
        <v>34.101238860000002</v>
      </c>
      <c r="R70" s="28"/>
    </row>
    <row r="71" spans="1:18" x14ac:dyDescent="0.3">
      <c r="A71">
        <v>70</v>
      </c>
      <c r="B71">
        <v>3</v>
      </c>
      <c r="C71" s="27" t="s">
        <v>107</v>
      </c>
      <c r="D71" s="28" t="s">
        <v>17</v>
      </c>
      <c r="E71" s="28">
        <v>0.89</v>
      </c>
      <c r="F71" s="28">
        <v>1.03</v>
      </c>
      <c r="G71" s="28">
        <v>0.4</v>
      </c>
      <c r="H71" s="28" t="s">
        <v>26</v>
      </c>
      <c r="I71" s="28" t="s">
        <v>23</v>
      </c>
      <c r="J71" s="28" t="s">
        <v>6</v>
      </c>
      <c r="K71" s="28">
        <v>23</v>
      </c>
      <c r="L71" s="28">
        <v>20</v>
      </c>
      <c r="M71" s="31">
        <v>0.08</v>
      </c>
      <c r="N71" s="30">
        <v>22.075532435486156</v>
      </c>
      <c r="O71" s="29">
        <v>20.6</v>
      </c>
      <c r="P71" s="29">
        <v>454.289241</v>
      </c>
      <c r="Q71" s="29">
        <v>28.2346936</v>
      </c>
      <c r="R71" s="28"/>
    </row>
    <row r="72" spans="1:18" x14ac:dyDescent="0.3">
      <c r="A72">
        <v>71</v>
      </c>
      <c r="B72">
        <v>3</v>
      </c>
      <c r="C72" s="27" t="s">
        <v>108</v>
      </c>
      <c r="D72" s="28" t="s">
        <v>10</v>
      </c>
      <c r="E72" s="28">
        <v>0.59</v>
      </c>
      <c r="F72" s="28">
        <v>1.02</v>
      </c>
      <c r="G72" s="28">
        <v>2.88</v>
      </c>
      <c r="H72" s="28" t="s">
        <v>26</v>
      </c>
      <c r="I72" s="28" t="s">
        <v>24</v>
      </c>
      <c r="J72" s="28" t="s">
        <v>6</v>
      </c>
      <c r="K72" s="28">
        <v>5</v>
      </c>
      <c r="L72" s="28">
        <v>20</v>
      </c>
      <c r="M72" s="31">
        <v>0.57599999999999996</v>
      </c>
      <c r="N72" s="30">
        <v>12.962059170871477</v>
      </c>
      <c r="O72" s="29">
        <v>20.399999999999999</v>
      </c>
      <c r="P72" s="29">
        <v>63.768581519999998</v>
      </c>
      <c r="Q72" s="29">
        <v>9.5213582460000001</v>
      </c>
      <c r="R72" s="28"/>
    </row>
    <row r="73" spans="1:18" x14ac:dyDescent="0.3">
      <c r="A73">
        <v>72</v>
      </c>
      <c r="B73">
        <v>3</v>
      </c>
      <c r="C73" s="27" t="s">
        <v>109</v>
      </c>
      <c r="D73" s="28" t="s">
        <v>10</v>
      </c>
      <c r="E73" s="28">
        <v>0.71</v>
      </c>
      <c r="F73" s="28">
        <v>1.21</v>
      </c>
      <c r="G73" s="28">
        <v>2.02</v>
      </c>
      <c r="H73" s="28" t="s">
        <v>26</v>
      </c>
      <c r="I73" s="28" t="s">
        <v>25</v>
      </c>
      <c r="J73" s="28" t="s">
        <v>6</v>
      </c>
      <c r="K73" s="28">
        <v>0</v>
      </c>
      <c r="L73" s="28">
        <v>20</v>
      </c>
      <c r="M73" s="31">
        <v>0.40399999999999997</v>
      </c>
      <c r="N73" s="30">
        <v>18.503996400291935</v>
      </c>
      <c r="O73" s="29">
        <v>24.2</v>
      </c>
      <c r="P73" s="29">
        <v>108.569478</v>
      </c>
      <c r="Q73" s="29">
        <v>4.1712402070000003</v>
      </c>
      <c r="R73" s="28"/>
    </row>
    <row r="74" spans="1:18" x14ac:dyDescent="0.3">
      <c r="A74">
        <v>73</v>
      </c>
      <c r="B74">
        <v>3</v>
      </c>
      <c r="C74" s="27" t="s">
        <v>110</v>
      </c>
      <c r="D74" s="28" t="s">
        <v>12</v>
      </c>
      <c r="E74" s="28">
        <v>0.1</v>
      </c>
      <c r="F74" s="28">
        <v>0.73</v>
      </c>
      <c r="G74" s="28">
        <v>0</v>
      </c>
      <c r="H74" s="28" t="s">
        <v>20</v>
      </c>
      <c r="I74" s="28" t="s">
        <v>21</v>
      </c>
      <c r="J74" s="28" t="s">
        <v>7</v>
      </c>
      <c r="K74" s="28">
        <v>15</v>
      </c>
      <c r="L74" s="28">
        <v>20</v>
      </c>
      <c r="M74" s="31">
        <v>0</v>
      </c>
      <c r="N74" s="30">
        <v>1.7458036907500185</v>
      </c>
      <c r="O74" s="29">
        <v>14.6</v>
      </c>
      <c r="P74" s="29">
        <v>34.749626480000003</v>
      </c>
      <c r="Q74" s="29">
        <v>6.3810668240000004</v>
      </c>
      <c r="R74" s="28"/>
    </row>
    <row r="75" spans="1:18" x14ac:dyDescent="0.3">
      <c r="A75">
        <v>74</v>
      </c>
      <c r="B75">
        <v>3</v>
      </c>
      <c r="C75" s="27" t="s">
        <v>111</v>
      </c>
      <c r="D75" s="28" t="s">
        <v>12</v>
      </c>
      <c r="E75" s="28">
        <v>0.38</v>
      </c>
      <c r="F75" s="28">
        <v>1</v>
      </c>
      <c r="G75" s="28">
        <v>0.47</v>
      </c>
      <c r="H75" s="28" t="s">
        <v>20</v>
      </c>
      <c r="I75" s="28" t="s">
        <v>22</v>
      </c>
      <c r="J75" s="28" t="s">
        <v>7</v>
      </c>
      <c r="K75" s="28">
        <v>21</v>
      </c>
      <c r="L75" s="28">
        <v>20</v>
      </c>
      <c r="M75" s="31">
        <v>9.3999999999999986E-2</v>
      </c>
      <c r="N75" s="30">
        <v>9.0877452395206433</v>
      </c>
      <c r="O75" s="29">
        <v>20</v>
      </c>
      <c r="P75" s="29">
        <v>60.717597740000002</v>
      </c>
      <c r="Q75" s="29">
        <v>4.9072127070000002</v>
      </c>
      <c r="R75" s="28"/>
    </row>
    <row r="76" spans="1:18" x14ac:dyDescent="0.3">
      <c r="A76">
        <v>75</v>
      </c>
      <c r="B76">
        <v>3</v>
      </c>
      <c r="C76" s="27" t="s">
        <v>112</v>
      </c>
      <c r="D76" s="28" t="s">
        <v>12</v>
      </c>
      <c r="E76" s="28">
        <v>0.44</v>
      </c>
      <c r="F76" s="28">
        <v>0.91</v>
      </c>
      <c r="G76" s="28">
        <v>1.39</v>
      </c>
      <c r="H76" s="28" t="s">
        <v>20</v>
      </c>
      <c r="I76" s="28" t="s">
        <v>23</v>
      </c>
      <c r="J76" s="28" t="s">
        <v>7</v>
      </c>
      <c r="K76" s="28">
        <v>0</v>
      </c>
      <c r="L76" s="28">
        <v>20</v>
      </c>
      <c r="M76" s="31">
        <v>0.27799999999999997</v>
      </c>
      <c r="N76" s="30">
        <v>9.5756136681685931</v>
      </c>
      <c r="O76" s="29">
        <v>18.2</v>
      </c>
      <c r="P76" s="29">
        <v>1.1496087930000001</v>
      </c>
      <c r="Q76" s="29">
        <v>388.75080589999999</v>
      </c>
      <c r="R76" s="28" t="s">
        <v>40</v>
      </c>
    </row>
    <row r="77" spans="1:18" x14ac:dyDescent="0.3">
      <c r="A77">
        <v>76</v>
      </c>
      <c r="B77">
        <v>3</v>
      </c>
      <c r="C77" s="27" t="s">
        <v>113</v>
      </c>
      <c r="D77" s="28" t="s">
        <v>10</v>
      </c>
      <c r="E77" s="28">
        <v>0.32</v>
      </c>
      <c r="F77" s="28">
        <v>0.93</v>
      </c>
      <c r="G77" s="28">
        <v>0</v>
      </c>
      <c r="H77" s="28" t="s">
        <v>20</v>
      </c>
      <c r="I77" s="28" t="s">
        <v>24</v>
      </c>
      <c r="J77" s="28" t="s">
        <v>7</v>
      </c>
      <c r="K77" s="28">
        <v>8</v>
      </c>
      <c r="L77" s="28">
        <v>20</v>
      </c>
      <c r="M77" s="31">
        <v>0</v>
      </c>
      <c r="N77" s="30">
        <v>6.4099514942694453</v>
      </c>
      <c r="O77" s="29">
        <v>18.600000000000001</v>
      </c>
      <c r="P77" s="29">
        <v>45.01712354</v>
      </c>
      <c r="Q77" s="29">
        <v>4.7583724629999997</v>
      </c>
      <c r="R77" s="28"/>
    </row>
    <row r="78" spans="1:18" x14ac:dyDescent="0.3">
      <c r="A78">
        <v>77</v>
      </c>
      <c r="B78">
        <v>3</v>
      </c>
      <c r="C78" s="27" t="s">
        <v>114</v>
      </c>
      <c r="D78" s="28" t="s">
        <v>19</v>
      </c>
      <c r="E78" s="28">
        <v>0.1</v>
      </c>
      <c r="F78" s="28">
        <v>0.78</v>
      </c>
      <c r="G78" s="28">
        <v>0</v>
      </c>
      <c r="H78" s="28" t="s">
        <v>20</v>
      </c>
      <c r="I78" s="28" t="s">
        <v>25</v>
      </c>
      <c r="J78" s="28" t="s">
        <v>7</v>
      </c>
      <c r="K78" s="28">
        <v>14</v>
      </c>
      <c r="L78" s="28">
        <v>20</v>
      </c>
      <c r="M78" s="31">
        <v>0</v>
      </c>
      <c r="N78" s="30">
        <v>2.9402629105998379</v>
      </c>
      <c r="O78" s="29">
        <v>15.600000000000001</v>
      </c>
      <c r="P78" s="29">
        <v>12.907511530000001</v>
      </c>
      <c r="Q78" s="29">
        <v>30.657869890000001</v>
      </c>
      <c r="R78" s="28"/>
    </row>
    <row r="79" spans="1:18" x14ac:dyDescent="0.3">
      <c r="A79">
        <v>78</v>
      </c>
      <c r="B79">
        <v>3</v>
      </c>
      <c r="C79" s="27" t="s">
        <v>115</v>
      </c>
      <c r="D79" s="28" t="s">
        <v>19</v>
      </c>
      <c r="E79" s="28">
        <v>0.48</v>
      </c>
      <c r="F79" s="28">
        <v>1.34</v>
      </c>
      <c r="G79" s="28">
        <v>0</v>
      </c>
      <c r="H79" s="28" t="s">
        <v>26</v>
      </c>
      <c r="I79" s="28" t="s">
        <v>21</v>
      </c>
      <c r="J79" s="28" t="s">
        <v>7</v>
      </c>
      <c r="K79" s="28">
        <v>27</v>
      </c>
      <c r="L79" s="28">
        <v>20</v>
      </c>
      <c r="M79" s="31">
        <v>0</v>
      </c>
      <c r="N79" s="30">
        <v>24.245860308946355</v>
      </c>
      <c r="O79" s="29">
        <v>26.8</v>
      </c>
      <c r="P79" s="29">
        <v>105.6343186</v>
      </c>
      <c r="Q79" s="29">
        <v>9.7079197389999994</v>
      </c>
      <c r="R79" s="28"/>
    </row>
    <row r="80" spans="1:18" x14ac:dyDescent="0.3">
      <c r="A80">
        <v>79</v>
      </c>
      <c r="B80">
        <v>3</v>
      </c>
      <c r="C80" s="27" t="s">
        <v>116</v>
      </c>
      <c r="D80" s="28" t="s">
        <v>12</v>
      </c>
      <c r="E80" s="28">
        <v>0.39</v>
      </c>
      <c r="F80" s="28">
        <v>1.04</v>
      </c>
      <c r="G80" s="28">
        <v>1.21</v>
      </c>
      <c r="H80" s="28" t="s">
        <v>26</v>
      </c>
      <c r="I80" s="28" t="s">
        <v>22</v>
      </c>
      <c r="J80" s="28" t="s">
        <v>7</v>
      </c>
      <c r="K80" s="28">
        <v>0</v>
      </c>
      <c r="L80" s="28">
        <v>20</v>
      </c>
      <c r="M80" s="31">
        <v>0.24199999999999999</v>
      </c>
      <c r="N80" s="30">
        <v>9.6999722872357204</v>
      </c>
      <c r="O80" s="29">
        <v>20.8</v>
      </c>
      <c r="P80" s="29">
        <v>62.079726880000003</v>
      </c>
      <c r="Q80" s="29">
        <v>6.4291558210000002</v>
      </c>
      <c r="R80" s="28"/>
    </row>
    <row r="81" spans="1:18" x14ac:dyDescent="0.3">
      <c r="A81">
        <v>80</v>
      </c>
      <c r="B81">
        <v>3</v>
      </c>
      <c r="C81" s="27" t="s">
        <v>117</v>
      </c>
      <c r="D81" s="28" t="s">
        <v>18</v>
      </c>
      <c r="E81" s="28">
        <v>0.21</v>
      </c>
      <c r="F81" s="28">
        <v>0.91</v>
      </c>
      <c r="G81" s="28">
        <v>0.11</v>
      </c>
      <c r="H81" s="28" t="s">
        <v>26</v>
      </c>
      <c r="I81" s="28" t="s">
        <v>23</v>
      </c>
      <c r="J81" s="28" t="s">
        <v>7</v>
      </c>
      <c r="K81" s="28">
        <v>33</v>
      </c>
      <c r="L81" s="28">
        <v>20</v>
      </c>
      <c r="M81" s="31">
        <v>2.2000000000000002E-2</v>
      </c>
      <c r="N81" s="30">
        <v>4.7045350889599105</v>
      </c>
      <c r="O81" s="29">
        <v>18.2</v>
      </c>
      <c r="P81" s="29">
        <v>40.210828990000003</v>
      </c>
      <c r="Q81" s="29">
        <v>9.1213031620000002</v>
      </c>
      <c r="R81" s="28"/>
    </row>
    <row r="82" spans="1:18" x14ac:dyDescent="0.3">
      <c r="A82">
        <v>81</v>
      </c>
      <c r="B82">
        <v>3</v>
      </c>
      <c r="C82" s="27" t="s">
        <v>118</v>
      </c>
      <c r="D82" s="28" t="s">
        <v>16</v>
      </c>
      <c r="E82" s="28">
        <v>0.73</v>
      </c>
      <c r="F82" s="28">
        <v>1.4</v>
      </c>
      <c r="G82" s="28">
        <v>0</v>
      </c>
      <c r="H82" s="28" t="s">
        <v>26</v>
      </c>
      <c r="I82" s="28" t="s">
        <v>24</v>
      </c>
      <c r="J82" s="28" t="s">
        <v>7</v>
      </c>
      <c r="K82" s="28">
        <v>34</v>
      </c>
      <c r="L82" s="28">
        <v>20</v>
      </c>
      <c r="M82" s="31">
        <v>0</v>
      </c>
      <c r="N82" s="30">
        <v>2.2156587147421622</v>
      </c>
      <c r="O82" s="29">
        <v>28</v>
      </c>
      <c r="P82" s="29">
        <v>23.23603211</v>
      </c>
      <c r="Q82" s="29">
        <v>8.0524433599999998</v>
      </c>
      <c r="R82" s="28"/>
    </row>
    <row r="83" spans="1:18" x14ac:dyDescent="0.3">
      <c r="A83">
        <v>82</v>
      </c>
      <c r="B83">
        <v>3</v>
      </c>
      <c r="C83" s="27" t="s">
        <v>119</v>
      </c>
      <c r="D83" s="28" t="s">
        <v>19</v>
      </c>
      <c r="E83" s="28">
        <v>0.34</v>
      </c>
      <c r="F83" s="28">
        <v>0.87</v>
      </c>
      <c r="G83" s="28">
        <v>0</v>
      </c>
      <c r="H83" s="28" t="s">
        <v>26</v>
      </c>
      <c r="I83" s="28" t="s">
        <v>25</v>
      </c>
      <c r="J83" s="28" t="s">
        <v>7</v>
      </c>
      <c r="K83" s="28">
        <v>5</v>
      </c>
      <c r="L83" s="28">
        <v>20</v>
      </c>
      <c r="M83" s="31">
        <v>0</v>
      </c>
      <c r="N83" s="30">
        <v>11.150381653274769</v>
      </c>
      <c r="O83" s="29">
        <v>17.399999999999999</v>
      </c>
      <c r="P83" s="29">
        <v>39.781747359999997</v>
      </c>
      <c r="Q83" s="29">
        <v>19.380212230000001</v>
      </c>
      <c r="R83" s="28"/>
    </row>
    <row r="84" spans="1:18" x14ac:dyDescent="0.3">
      <c r="A84">
        <v>83</v>
      </c>
      <c r="B84">
        <v>4</v>
      </c>
      <c r="C84" s="27" t="s">
        <v>120</v>
      </c>
      <c r="D84" s="28" t="s">
        <v>17</v>
      </c>
      <c r="E84" s="28">
        <v>0.79</v>
      </c>
      <c r="F84" s="28">
        <v>1.37</v>
      </c>
      <c r="G84" s="28">
        <v>0.28999999999999998</v>
      </c>
      <c r="H84" s="28" t="s">
        <v>20</v>
      </c>
      <c r="I84" s="28" t="s">
        <v>21</v>
      </c>
      <c r="J84" s="28" t="s">
        <v>6</v>
      </c>
      <c r="K84" s="28">
        <v>10</v>
      </c>
      <c r="L84" s="28">
        <v>20</v>
      </c>
      <c r="M84" s="31">
        <v>5.7999999999999996E-2</v>
      </c>
      <c r="N84" s="30">
        <v>26.063432698730956</v>
      </c>
      <c r="O84" s="29">
        <v>27.400000000000002</v>
      </c>
      <c r="P84" s="29">
        <v>6.8136970253720861</v>
      </c>
      <c r="Q84" s="29">
        <v>1891.9325714069682</v>
      </c>
      <c r="R84" s="28" t="s">
        <v>40</v>
      </c>
    </row>
    <row r="85" spans="1:18" x14ac:dyDescent="0.3">
      <c r="A85">
        <v>84</v>
      </c>
      <c r="B85">
        <v>4</v>
      </c>
      <c r="C85" s="27" t="s">
        <v>121</v>
      </c>
      <c r="D85" s="28" t="s">
        <v>10</v>
      </c>
      <c r="E85" s="28">
        <v>0.59</v>
      </c>
      <c r="F85" s="28">
        <v>1.32</v>
      </c>
      <c r="G85" s="28">
        <v>2.19</v>
      </c>
      <c r="H85" s="28" t="s">
        <v>20</v>
      </c>
      <c r="I85" s="28" t="s">
        <v>22</v>
      </c>
      <c r="J85" s="28" t="s">
        <v>6</v>
      </c>
      <c r="K85" s="28">
        <v>6</v>
      </c>
      <c r="L85" s="28">
        <v>20</v>
      </c>
      <c r="M85" s="31">
        <v>0.43799999999999994</v>
      </c>
      <c r="N85" s="30">
        <v>16.774429515245441</v>
      </c>
      <c r="O85" s="29">
        <v>26.400000000000002</v>
      </c>
      <c r="P85" s="29">
        <v>69.494831273706794</v>
      </c>
      <c r="Q85" s="29">
        <v>6.6045293950339827</v>
      </c>
      <c r="R85" s="28"/>
    </row>
    <row r="86" spans="1:18" ht="15.6" x14ac:dyDescent="0.3">
      <c r="A86">
        <v>85</v>
      </c>
      <c r="B86">
        <v>4</v>
      </c>
      <c r="C86" s="27" t="s">
        <v>140</v>
      </c>
      <c r="D86" s="28" t="s">
        <v>10</v>
      </c>
      <c r="E86" s="28">
        <v>0.9</v>
      </c>
      <c r="F86" s="28">
        <v>1.43</v>
      </c>
      <c r="G86" s="28">
        <v>3</v>
      </c>
      <c r="H86" s="28" t="s">
        <v>20</v>
      </c>
      <c r="I86" s="28" t="s">
        <v>23</v>
      </c>
      <c r="J86" s="28" t="s">
        <v>6</v>
      </c>
      <c r="K86" s="28">
        <v>37</v>
      </c>
      <c r="L86" s="28">
        <v>20</v>
      </c>
      <c r="M86" s="31">
        <v>0.6</v>
      </c>
      <c r="N86" s="30">
        <v>27.720455554854752</v>
      </c>
      <c r="O86" s="29">
        <v>28.599999999999998</v>
      </c>
      <c r="P86" s="29">
        <v>138.72908211976716</v>
      </c>
      <c r="Q86" s="29">
        <v>3.6533505142515299</v>
      </c>
      <c r="R86" s="28"/>
    </row>
    <row r="87" spans="1:18" x14ac:dyDescent="0.3">
      <c r="A87">
        <v>86</v>
      </c>
      <c r="B87">
        <v>4</v>
      </c>
      <c r="C87" s="27" t="s">
        <v>122</v>
      </c>
      <c r="D87" s="28" t="s">
        <v>19</v>
      </c>
      <c r="E87" s="28">
        <v>0.17</v>
      </c>
      <c r="F87" s="28">
        <v>1.5</v>
      </c>
      <c r="G87" s="28">
        <v>0</v>
      </c>
      <c r="H87" s="28" t="s">
        <v>20</v>
      </c>
      <c r="I87" s="28" t="s">
        <v>24</v>
      </c>
      <c r="J87" s="28" t="s">
        <v>6</v>
      </c>
      <c r="K87" s="28">
        <v>0</v>
      </c>
      <c r="L87" s="28">
        <v>20</v>
      </c>
      <c r="M87" s="31">
        <v>0</v>
      </c>
      <c r="N87" s="30">
        <v>9.6123979769610095</v>
      </c>
      <c r="O87" s="29">
        <v>30</v>
      </c>
      <c r="P87" s="29">
        <v>67.673237270053903</v>
      </c>
      <c r="Q87" s="29">
        <v>8.271719972326034</v>
      </c>
      <c r="R87" s="28"/>
    </row>
    <row r="88" spans="1:18" x14ac:dyDescent="0.3">
      <c r="A88">
        <v>87</v>
      </c>
      <c r="B88">
        <v>4</v>
      </c>
      <c r="C88" s="27" t="s">
        <v>123</v>
      </c>
      <c r="D88" s="28" t="s">
        <v>17</v>
      </c>
      <c r="E88" s="28">
        <v>0.9</v>
      </c>
      <c r="F88" s="28">
        <v>1.5</v>
      </c>
      <c r="G88" s="28">
        <v>0</v>
      </c>
      <c r="H88" s="28" t="s">
        <v>20</v>
      </c>
      <c r="I88" s="28" t="s">
        <v>25</v>
      </c>
      <c r="J88" s="28" t="s">
        <v>6</v>
      </c>
      <c r="K88" s="28">
        <v>7</v>
      </c>
      <c r="L88" s="28">
        <v>20</v>
      </c>
      <c r="M88" s="31">
        <v>0</v>
      </c>
      <c r="N88" s="30">
        <v>32.510056493843472</v>
      </c>
      <c r="O88" s="29">
        <v>30</v>
      </c>
      <c r="P88" s="29">
        <v>7.8113825798050929</v>
      </c>
      <c r="Q88" s="29">
        <v>1827.3791141905861</v>
      </c>
      <c r="R88" s="28" t="s">
        <v>40</v>
      </c>
    </row>
    <row r="89" spans="1:18" x14ac:dyDescent="0.3">
      <c r="A89">
        <v>88</v>
      </c>
      <c r="B89">
        <v>4</v>
      </c>
      <c r="C89" s="27" t="s">
        <v>124</v>
      </c>
      <c r="D89" s="28" t="s">
        <v>17</v>
      </c>
      <c r="E89" s="28">
        <v>0.76</v>
      </c>
      <c r="F89" s="28">
        <v>1.49</v>
      </c>
      <c r="G89" s="28">
        <v>0.1</v>
      </c>
      <c r="H89" s="28" t="s">
        <v>26</v>
      </c>
      <c r="I89" s="28" t="s">
        <v>21</v>
      </c>
      <c r="J89" s="28" t="s">
        <v>6</v>
      </c>
      <c r="K89" s="28">
        <v>0</v>
      </c>
      <c r="L89" s="28">
        <v>20</v>
      </c>
      <c r="M89" s="31">
        <v>0.02</v>
      </c>
      <c r="N89" s="30">
        <v>27.269917017502479</v>
      </c>
      <c r="O89" s="29">
        <v>29.8</v>
      </c>
      <c r="P89" s="29">
        <v>7.5927387350888775</v>
      </c>
      <c r="Q89" s="29">
        <v>1691.1185099683903</v>
      </c>
      <c r="R89" s="28" t="s">
        <v>40</v>
      </c>
    </row>
    <row r="90" spans="1:18" x14ac:dyDescent="0.3">
      <c r="A90">
        <v>89</v>
      </c>
      <c r="B90">
        <v>4</v>
      </c>
      <c r="C90" s="27" t="s">
        <v>125</v>
      </c>
      <c r="D90" s="28" t="s">
        <v>12</v>
      </c>
      <c r="E90" s="28">
        <v>0.56999999999999995</v>
      </c>
      <c r="F90" s="28">
        <v>1.0900000000000001</v>
      </c>
      <c r="G90" s="28">
        <v>0.99</v>
      </c>
      <c r="H90" s="28" t="s">
        <v>26</v>
      </c>
      <c r="I90" s="28" t="s">
        <v>22</v>
      </c>
      <c r="J90" s="28" t="s">
        <v>6</v>
      </c>
      <c r="K90" s="28">
        <v>0</v>
      </c>
      <c r="L90" s="28">
        <v>20</v>
      </c>
      <c r="M90" s="31">
        <v>0.19800000000000001</v>
      </c>
      <c r="N90" s="30">
        <v>14.858463466616252</v>
      </c>
      <c r="O90" s="29">
        <v>21.8</v>
      </c>
      <c r="P90" s="29">
        <v>1.0882491621078303</v>
      </c>
      <c r="Q90" s="29">
        <v>337.84492108689608</v>
      </c>
      <c r="R90" s="28" t="s">
        <v>40</v>
      </c>
    </row>
    <row r="91" spans="1:18" x14ac:dyDescent="0.3">
      <c r="A91">
        <v>90</v>
      </c>
      <c r="B91">
        <v>4</v>
      </c>
      <c r="C91" s="27" t="s">
        <v>126</v>
      </c>
      <c r="D91" s="28" t="s">
        <v>10</v>
      </c>
      <c r="E91" s="28">
        <v>0.9</v>
      </c>
      <c r="F91" s="28">
        <v>1.41</v>
      </c>
      <c r="G91" s="28">
        <v>3</v>
      </c>
      <c r="H91" s="28" t="s">
        <v>26</v>
      </c>
      <c r="I91" s="28" t="s">
        <v>23</v>
      </c>
      <c r="J91" s="28" t="s">
        <v>6</v>
      </c>
      <c r="K91" s="28">
        <v>23</v>
      </c>
      <c r="L91" s="28">
        <v>20</v>
      </c>
      <c r="M91" s="31">
        <v>0.6</v>
      </c>
      <c r="N91" s="30">
        <v>27.332756875765877</v>
      </c>
      <c r="O91" s="29">
        <v>28.2</v>
      </c>
      <c r="P91" s="29">
        <v>135.43464979488587</v>
      </c>
      <c r="Q91" s="29">
        <v>3.7671207936140734</v>
      </c>
      <c r="R91" s="28"/>
    </row>
    <row r="92" spans="1:18" x14ac:dyDescent="0.3">
      <c r="A92">
        <v>91</v>
      </c>
      <c r="B92">
        <v>4</v>
      </c>
      <c r="C92" s="27" t="s">
        <v>127</v>
      </c>
      <c r="D92" s="28" t="s">
        <v>17</v>
      </c>
      <c r="E92" s="28">
        <v>0.44</v>
      </c>
      <c r="F92" s="28">
        <v>1.33</v>
      </c>
      <c r="G92" s="28">
        <v>0</v>
      </c>
      <c r="H92" s="28" t="s">
        <v>26</v>
      </c>
      <c r="I92" s="28" t="s">
        <v>24</v>
      </c>
      <c r="J92" s="28" t="s">
        <v>6</v>
      </c>
      <c r="K92" s="28">
        <v>9</v>
      </c>
      <c r="L92" s="28">
        <v>20</v>
      </c>
      <c r="M92" s="31">
        <v>0</v>
      </c>
      <c r="N92" s="30">
        <v>14.092507451997925</v>
      </c>
      <c r="O92" s="29">
        <v>26.6</v>
      </c>
      <c r="P92" s="29">
        <v>248.0676261656692</v>
      </c>
      <c r="Q92" s="29">
        <v>34.187502963081357</v>
      </c>
      <c r="R92" s="28"/>
    </row>
    <row r="93" spans="1:18" x14ac:dyDescent="0.3">
      <c r="A93">
        <v>92</v>
      </c>
      <c r="B93">
        <v>4</v>
      </c>
      <c r="C93" s="27" t="s">
        <v>128</v>
      </c>
      <c r="D93" s="28" t="s">
        <v>17</v>
      </c>
      <c r="E93" s="28">
        <v>0.1</v>
      </c>
      <c r="F93" s="28">
        <v>1.23</v>
      </c>
      <c r="G93" s="28">
        <v>0</v>
      </c>
      <c r="H93" s="28" t="s">
        <v>26</v>
      </c>
      <c r="I93" s="28" t="s">
        <v>25</v>
      </c>
      <c r="J93" s="28" t="s">
        <v>6</v>
      </c>
      <c r="K93" s="28">
        <v>0</v>
      </c>
      <c r="L93" s="28">
        <v>20</v>
      </c>
      <c r="M93" s="31">
        <v>0</v>
      </c>
      <c r="N93" s="30">
        <v>2.9620273694390722</v>
      </c>
      <c r="O93" s="29">
        <v>24.6</v>
      </c>
      <c r="P93" s="29">
        <v>74.565155796641207</v>
      </c>
      <c r="Q93" s="29">
        <v>32.147489170029537</v>
      </c>
      <c r="R93" s="28"/>
    </row>
    <row r="94" spans="1:18" x14ac:dyDescent="0.3">
      <c r="A94">
        <v>93</v>
      </c>
      <c r="B94">
        <v>4</v>
      </c>
      <c r="C94" s="27" t="s">
        <v>129</v>
      </c>
      <c r="D94" s="28" t="s">
        <v>10</v>
      </c>
      <c r="E94" s="28">
        <v>0.51</v>
      </c>
      <c r="F94" s="28">
        <v>1.25</v>
      </c>
      <c r="G94" s="28">
        <v>2.06</v>
      </c>
      <c r="H94" s="28" t="s">
        <v>20</v>
      </c>
      <c r="I94" s="28" t="s">
        <v>21</v>
      </c>
      <c r="J94" s="28" t="s">
        <v>7</v>
      </c>
      <c r="K94" s="28">
        <v>17</v>
      </c>
      <c r="L94" s="28">
        <v>20</v>
      </c>
      <c r="M94" s="31">
        <v>0.41200000000000003</v>
      </c>
      <c r="N94" s="30">
        <v>13.730994884397752</v>
      </c>
      <c r="O94" s="29">
        <v>25</v>
      </c>
      <c r="P94" s="29">
        <v>55.254083001870463</v>
      </c>
      <c r="Q94" s="29">
        <v>8.3096866689026321</v>
      </c>
      <c r="R94" s="28"/>
    </row>
    <row r="95" spans="1:18" x14ac:dyDescent="0.3">
      <c r="A95">
        <v>94</v>
      </c>
      <c r="B95">
        <v>4</v>
      </c>
      <c r="C95" s="27" t="s">
        <v>130</v>
      </c>
      <c r="D95" s="28" t="s">
        <v>19</v>
      </c>
      <c r="E95" s="28">
        <v>0.64</v>
      </c>
      <c r="F95" s="28">
        <v>1.18</v>
      </c>
      <c r="G95" s="28">
        <v>0.17</v>
      </c>
      <c r="H95" s="28" t="s">
        <v>20</v>
      </c>
      <c r="I95" s="28" t="s">
        <v>22</v>
      </c>
      <c r="J95" s="28" t="s">
        <v>7</v>
      </c>
      <c r="K95" s="28">
        <v>21</v>
      </c>
      <c r="L95" s="28">
        <v>20</v>
      </c>
      <c r="M95" s="31">
        <v>3.4000000000000002E-2</v>
      </c>
      <c r="N95" s="30">
        <v>28.467776283140989</v>
      </c>
      <c r="O95" s="29">
        <v>23.599999999999998</v>
      </c>
      <c r="P95" s="29">
        <v>138.28555630703084</v>
      </c>
      <c r="Q95" s="29">
        <v>8.5708605764542565</v>
      </c>
      <c r="R95" s="28"/>
    </row>
    <row r="96" spans="1:18" x14ac:dyDescent="0.3">
      <c r="A96">
        <v>95</v>
      </c>
      <c r="B96">
        <v>4</v>
      </c>
      <c r="C96" s="27" t="s">
        <v>131</v>
      </c>
      <c r="D96" s="28" t="s">
        <v>10</v>
      </c>
      <c r="E96" s="28">
        <v>0.57999999999999996</v>
      </c>
      <c r="F96" s="28">
        <v>1.41</v>
      </c>
      <c r="G96" s="28">
        <v>1.91</v>
      </c>
      <c r="H96" s="28" t="s">
        <v>20</v>
      </c>
      <c r="I96" s="28" t="s">
        <v>23</v>
      </c>
      <c r="J96" s="28" t="s">
        <v>7</v>
      </c>
      <c r="K96" s="28">
        <v>37</v>
      </c>
      <c r="L96" s="28">
        <v>20</v>
      </c>
      <c r="M96" s="31">
        <v>0.38199999999999995</v>
      </c>
      <c r="N96" s="30">
        <v>17.614443319938008</v>
      </c>
      <c r="O96" s="29">
        <v>28.2</v>
      </c>
      <c r="P96" s="29">
        <v>76.17291091022571</v>
      </c>
      <c r="Q96" s="29">
        <v>5.4530326173844132</v>
      </c>
      <c r="R96" s="28"/>
    </row>
    <row r="97" spans="1:18" x14ac:dyDescent="0.3">
      <c r="A97">
        <v>96</v>
      </c>
      <c r="B97">
        <v>4</v>
      </c>
      <c r="C97" s="27" t="s">
        <v>132</v>
      </c>
      <c r="D97" s="28" t="s">
        <v>16</v>
      </c>
      <c r="E97" s="28">
        <v>0.84</v>
      </c>
      <c r="F97" s="28">
        <v>1.1499999999999999</v>
      </c>
      <c r="G97" s="28">
        <v>0</v>
      </c>
      <c r="H97" s="28" t="s">
        <v>20</v>
      </c>
      <c r="I97" s="28" t="s">
        <v>24</v>
      </c>
      <c r="J97" s="28" t="s">
        <v>7</v>
      </c>
      <c r="K97" s="28">
        <v>27</v>
      </c>
      <c r="L97" s="28">
        <v>20</v>
      </c>
      <c r="M97" s="31">
        <v>0</v>
      </c>
      <c r="N97" s="30">
        <v>2.094252757769989</v>
      </c>
      <c r="O97" s="29">
        <v>23</v>
      </c>
      <c r="P97" s="29">
        <v>28.343332840818118</v>
      </c>
      <c r="Q97" s="29">
        <v>7.2375185741754873</v>
      </c>
      <c r="R97" s="28"/>
    </row>
    <row r="98" spans="1:18" x14ac:dyDescent="0.3">
      <c r="A98">
        <v>97</v>
      </c>
      <c r="B98">
        <v>4</v>
      </c>
      <c r="C98" s="27" t="s">
        <v>133</v>
      </c>
      <c r="D98" s="28" t="s">
        <v>19</v>
      </c>
      <c r="E98" s="28">
        <v>0.1</v>
      </c>
      <c r="F98" s="28">
        <v>1.23</v>
      </c>
      <c r="G98" s="28">
        <v>1.04</v>
      </c>
      <c r="H98" s="28" t="s">
        <v>20</v>
      </c>
      <c r="I98" s="28" t="s">
        <v>25</v>
      </c>
      <c r="J98" s="28" t="s">
        <v>7</v>
      </c>
      <c r="K98" s="28">
        <v>14</v>
      </c>
      <c r="L98" s="28">
        <v>20</v>
      </c>
      <c r="M98" s="31">
        <v>0.20800000000000002</v>
      </c>
      <c r="N98" s="30">
        <v>4.6365684359458985</v>
      </c>
      <c r="O98" s="29">
        <v>24.6</v>
      </c>
      <c r="P98" s="29">
        <v>18.388720530946856</v>
      </c>
      <c r="Q98" s="29">
        <v>30.117885635686267</v>
      </c>
      <c r="R98" s="28"/>
    </row>
    <row r="99" spans="1:18" x14ac:dyDescent="0.3">
      <c r="A99">
        <v>98</v>
      </c>
      <c r="B99">
        <v>4</v>
      </c>
      <c r="C99" s="27" t="s">
        <v>134</v>
      </c>
      <c r="D99" s="28" t="s">
        <v>12</v>
      </c>
      <c r="E99" s="28">
        <v>0.15</v>
      </c>
      <c r="F99" s="28">
        <v>1.25</v>
      </c>
      <c r="G99" s="28">
        <v>0</v>
      </c>
      <c r="H99" s="28" t="s">
        <v>26</v>
      </c>
      <c r="I99" s="28" t="s">
        <v>21</v>
      </c>
      <c r="J99" s="28" t="s">
        <v>7</v>
      </c>
      <c r="K99" s="28">
        <v>15</v>
      </c>
      <c r="L99" s="28">
        <v>20</v>
      </c>
      <c r="M99" s="31">
        <v>0</v>
      </c>
      <c r="N99" s="30">
        <v>4.4840848221318961</v>
      </c>
      <c r="O99" s="29">
        <v>25</v>
      </c>
      <c r="P99" s="29">
        <v>46.62379259924451</v>
      </c>
      <c r="Q99" s="29">
        <v>4.0383947125532904</v>
      </c>
      <c r="R99" s="28"/>
    </row>
    <row r="100" spans="1:18" x14ac:dyDescent="0.3">
      <c r="A100">
        <v>99</v>
      </c>
      <c r="B100">
        <v>4</v>
      </c>
      <c r="C100" s="27" t="s">
        <v>135</v>
      </c>
      <c r="D100" s="28" t="s">
        <v>9</v>
      </c>
      <c r="E100" s="28">
        <v>0.33</v>
      </c>
      <c r="F100" s="28">
        <v>0.88</v>
      </c>
      <c r="G100" s="28">
        <v>0.01</v>
      </c>
      <c r="H100" s="28" t="s">
        <v>26</v>
      </c>
      <c r="I100" s="28" t="s">
        <v>22</v>
      </c>
      <c r="J100" s="28" t="s">
        <v>7</v>
      </c>
      <c r="K100" s="28">
        <v>34</v>
      </c>
      <c r="L100" s="28">
        <v>20</v>
      </c>
      <c r="M100" s="31">
        <v>2E-3</v>
      </c>
      <c r="N100" s="30">
        <v>4.2457546369799291</v>
      </c>
      <c r="O100" s="29">
        <v>17.600000000000001</v>
      </c>
      <c r="P100" s="29">
        <v>23.165119648451451</v>
      </c>
      <c r="Q100" s="29">
        <v>10.785614226135344</v>
      </c>
      <c r="R100" s="28"/>
    </row>
    <row r="101" spans="1:18" x14ac:dyDescent="0.3">
      <c r="A101">
        <v>100</v>
      </c>
      <c r="B101">
        <v>4</v>
      </c>
      <c r="C101" s="27" t="s">
        <v>136</v>
      </c>
      <c r="D101" s="28" t="s">
        <v>12</v>
      </c>
      <c r="E101" s="28">
        <v>0.55000000000000004</v>
      </c>
      <c r="F101" s="28">
        <v>1.07</v>
      </c>
      <c r="G101" s="28">
        <v>1.07</v>
      </c>
      <c r="H101" s="28" t="s">
        <v>26</v>
      </c>
      <c r="I101" s="28" t="s">
        <v>23</v>
      </c>
      <c r="J101" s="28" t="s">
        <v>7</v>
      </c>
      <c r="K101" s="28">
        <v>8</v>
      </c>
      <c r="L101" s="28">
        <v>20</v>
      </c>
      <c r="M101" s="31">
        <v>0.21400000000000002</v>
      </c>
      <c r="N101" s="30">
        <v>14.074047561731314</v>
      </c>
      <c r="O101" s="29">
        <v>21.400000000000002</v>
      </c>
      <c r="P101" s="29">
        <v>57.11907890174075</v>
      </c>
      <c r="Q101" s="29">
        <v>6.6454151131137484</v>
      </c>
      <c r="R101" s="28"/>
    </row>
    <row r="102" spans="1:18" x14ac:dyDescent="0.3">
      <c r="A102">
        <v>101</v>
      </c>
      <c r="B102">
        <v>4</v>
      </c>
      <c r="C102" s="27" t="s">
        <v>137</v>
      </c>
      <c r="D102" s="28" t="s">
        <v>19</v>
      </c>
      <c r="E102" s="28">
        <v>0.16</v>
      </c>
      <c r="F102" s="28">
        <v>1.24</v>
      </c>
      <c r="G102" s="28">
        <v>1.04</v>
      </c>
      <c r="H102" s="28" t="s">
        <v>26</v>
      </c>
      <c r="I102" s="28" t="s">
        <v>24</v>
      </c>
      <c r="J102" s="28" t="s">
        <v>7</v>
      </c>
      <c r="K102" s="28">
        <v>4</v>
      </c>
      <c r="L102" s="28">
        <v>20</v>
      </c>
      <c r="M102" s="31">
        <v>0.20800000000000002</v>
      </c>
      <c r="N102" s="30">
        <v>7.4788225828590749</v>
      </c>
      <c r="O102" s="29">
        <v>24.8</v>
      </c>
      <c r="P102" s="29">
        <v>41.951700304375613</v>
      </c>
      <c r="Q102" s="29">
        <v>15.922248353352639</v>
      </c>
      <c r="R102" s="28"/>
    </row>
    <row r="103" spans="1:18" ht="15.6" x14ac:dyDescent="0.3">
      <c r="A103">
        <v>102</v>
      </c>
      <c r="B103">
        <v>4</v>
      </c>
      <c r="C103" s="27" t="s">
        <v>141</v>
      </c>
      <c r="D103" s="28" t="s">
        <v>19</v>
      </c>
      <c r="E103" s="28">
        <v>0.65</v>
      </c>
      <c r="F103" s="28">
        <v>1.4</v>
      </c>
      <c r="G103" s="28">
        <v>0</v>
      </c>
      <c r="H103" s="28" t="s">
        <v>26</v>
      </c>
      <c r="I103" s="28" t="s">
        <v>25</v>
      </c>
      <c r="J103" s="28" t="s">
        <v>7</v>
      </c>
      <c r="K103" s="28">
        <v>12</v>
      </c>
      <c r="L103" s="28">
        <v>20</v>
      </c>
      <c r="M103" s="31">
        <v>0</v>
      </c>
      <c r="N103" s="30">
        <v>34.303067290331441</v>
      </c>
      <c r="O103" s="29">
        <v>28</v>
      </c>
      <c r="P103" s="29">
        <v>154.45612751050615</v>
      </c>
      <c r="Q103" s="29">
        <v>7.8680148959164997</v>
      </c>
      <c r="R103" s="28"/>
    </row>
    <row r="104" spans="1:18" x14ac:dyDescent="0.3">
      <c r="D104" s="28"/>
      <c r="E104" s="28"/>
      <c r="F104" s="28"/>
      <c r="G104" s="28"/>
      <c r="H104" s="28"/>
      <c r="I104" s="28"/>
      <c r="J104" s="28"/>
      <c r="K104" s="28"/>
      <c r="P104" s="28"/>
      <c r="Q104" s="28"/>
      <c r="R104" s="28"/>
    </row>
  </sheetData>
  <conditionalFormatting sqref="C2:C12">
    <cfRule type="duplicateValues" dxfId="0" priority="2"/>
  </conditionalFormatting>
  <pageMargins left="0.75" right="0.75" top="1" bottom="1" header="0.5" footer="0.5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A9BC-47EC-4750-8D17-8EA214EC8B3A}">
  <dimension ref="A1:L103"/>
  <sheetViews>
    <sheetView tabSelected="1" topLeftCell="A83" workbookViewId="0">
      <selection activeCell="L90" sqref="L90"/>
    </sheetView>
  </sheetViews>
  <sheetFormatPr defaultRowHeight="14.4" x14ac:dyDescent="0.3"/>
  <cols>
    <col min="1" max="1" width="10" bestFit="1" customWidth="1"/>
    <col min="2" max="2" width="9.33203125" bestFit="1" customWidth="1"/>
    <col min="3" max="3" width="16.77734375" bestFit="1" customWidth="1"/>
    <col min="4" max="4" width="21" bestFit="1" customWidth="1"/>
    <col min="5" max="5" width="23.44140625" bestFit="1" customWidth="1"/>
    <col min="6" max="6" width="7" bestFit="1" customWidth="1"/>
    <col min="7" max="7" width="10.109375" bestFit="1" customWidth="1"/>
    <col min="8" max="8" width="8.5546875" bestFit="1" customWidth="1"/>
    <col min="9" max="9" width="23.44140625" bestFit="1" customWidth="1"/>
    <col min="10" max="11" width="12" bestFit="1" customWidth="1"/>
    <col min="12" max="12" width="22.88671875" bestFit="1" customWidth="1"/>
  </cols>
  <sheetData>
    <row r="1" spans="1:12" x14ac:dyDescent="0.3">
      <c r="A1" s="37" t="s">
        <v>0</v>
      </c>
      <c r="B1" s="37" t="s">
        <v>1</v>
      </c>
      <c r="C1" s="37" t="s">
        <v>160</v>
      </c>
      <c r="D1" s="37" t="s">
        <v>161</v>
      </c>
      <c r="E1" s="37" t="s">
        <v>162</v>
      </c>
      <c r="F1" s="37" t="s">
        <v>2</v>
      </c>
      <c r="G1" s="37" t="s">
        <v>3</v>
      </c>
      <c r="H1" s="37" t="s">
        <v>4</v>
      </c>
      <c r="I1" s="37" t="s">
        <v>5</v>
      </c>
      <c r="J1" s="37" t="s">
        <v>6</v>
      </c>
      <c r="K1" s="37" t="s">
        <v>7</v>
      </c>
      <c r="L1" s="37" t="s">
        <v>8</v>
      </c>
    </row>
    <row r="2" spans="1:12" x14ac:dyDescent="0.3">
      <c r="A2">
        <v>0</v>
      </c>
      <c r="B2" t="s">
        <v>9</v>
      </c>
      <c r="C2">
        <v>0.5</v>
      </c>
      <c r="D2">
        <v>1</v>
      </c>
      <c r="E2">
        <v>0</v>
      </c>
      <c r="J2">
        <v>39.392650670782693</v>
      </c>
      <c r="K2">
        <v>6.7647303479801772</v>
      </c>
    </row>
    <row r="3" spans="1:12" x14ac:dyDescent="0.3">
      <c r="A3">
        <v>0</v>
      </c>
      <c r="B3" t="s">
        <v>10</v>
      </c>
      <c r="C3">
        <v>0.5</v>
      </c>
      <c r="D3">
        <v>1</v>
      </c>
      <c r="E3">
        <v>0</v>
      </c>
      <c r="J3">
        <v>91.05346846477957</v>
      </c>
      <c r="K3">
        <v>2.4273681310327389</v>
      </c>
    </row>
    <row r="4" spans="1:12" x14ac:dyDescent="0.3">
      <c r="A4">
        <v>0</v>
      </c>
      <c r="B4" t="s">
        <v>11</v>
      </c>
      <c r="C4">
        <v>0.5</v>
      </c>
      <c r="D4">
        <v>1</v>
      </c>
      <c r="E4">
        <v>0</v>
      </c>
      <c r="J4">
        <v>159.1690794764923</v>
      </c>
      <c r="K4">
        <v>32.224874056525167</v>
      </c>
    </row>
    <row r="5" spans="1:12" x14ac:dyDescent="0.3">
      <c r="A5">
        <v>0</v>
      </c>
      <c r="B5" t="s">
        <v>12</v>
      </c>
      <c r="C5">
        <v>0.5</v>
      </c>
      <c r="D5">
        <v>1</v>
      </c>
      <c r="E5">
        <v>0</v>
      </c>
      <c r="J5">
        <v>88.671747737270337</v>
      </c>
      <c r="K5">
        <v>2.7153629839084239</v>
      </c>
    </row>
    <row r="6" spans="1:12" x14ac:dyDescent="0.3">
      <c r="A6">
        <v>0</v>
      </c>
      <c r="B6" t="s">
        <v>13</v>
      </c>
      <c r="C6">
        <v>0.5</v>
      </c>
      <c r="D6">
        <v>1</v>
      </c>
      <c r="E6">
        <v>0</v>
      </c>
      <c r="J6">
        <v>9.6587418773580485</v>
      </c>
      <c r="K6">
        <v>61.776687942316073</v>
      </c>
    </row>
    <row r="7" spans="1:12" x14ac:dyDescent="0.3">
      <c r="A7">
        <v>0</v>
      </c>
      <c r="B7" t="s">
        <v>14</v>
      </c>
      <c r="C7">
        <v>0.5</v>
      </c>
      <c r="D7">
        <v>1</v>
      </c>
      <c r="E7">
        <v>0</v>
      </c>
      <c r="J7">
        <v>24.129956976093439</v>
      </c>
      <c r="K7">
        <v>9.7053415352638996</v>
      </c>
    </row>
    <row r="8" spans="1:12" x14ac:dyDescent="0.3">
      <c r="A8">
        <v>0</v>
      </c>
      <c r="B8" t="s">
        <v>15</v>
      </c>
      <c r="C8">
        <v>0.5</v>
      </c>
      <c r="D8">
        <v>1</v>
      </c>
      <c r="E8">
        <v>0</v>
      </c>
      <c r="J8">
        <v>35.210514773413507</v>
      </c>
      <c r="K8">
        <v>25.56438513596412</v>
      </c>
    </row>
    <row r="9" spans="1:12" x14ac:dyDescent="0.3">
      <c r="A9">
        <v>0</v>
      </c>
      <c r="B9" t="s">
        <v>16</v>
      </c>
      <c r="C9">
        <v>0.5</v>
      </c>
      <c r="D9">
        <v>1</v>
      </c>
      <c r="E9">
        <v>0</v>
      </c>
      <c r="J9">
        <v>39.873986572738893</v>
      </c>
      <c r="K9">
        <v>5.0768506484017788</v>
      </c>
    </row>
    <row r="10" spans="1:12" x14ac:dyDescent="0.3">
      <c r="A10">
        <v>0</v>
      </c>
      <c r="B10" t="s">
        <v>17</v>
      </c>
      <c r="C10">
        <v>0.5</v>
      </c>
      <c r="D10">
        <v>1</v>
      </c>
      <c r="E10">
        <v>0</v>
      </c>
      <c r="J10">
        <v>186.574575093927</v>
      </c>
      <c r="K10">
        <v>45.397932268488148</v>
      </c>
    </row>
    <row r="11" spans="1:12" x14ac:dyDescent="0.3">
      <c r="A11">
        <v>0</v>
      </c>
      <c r="B11" t="s">
        <v>18</v>
      </c>
      <c r="C11">
        <v>0.5</v>
      </c>
      <c r="D11">
        <v>1</v>
      </c>
      <c r="E11">
        <v>0</v>
      </c>
      <c r="J11">
        <v>76.295014037688844</v>
      </c>
      <c r="K11">
        <v>6.8369464884600388</v>
      </c>
    </row>
    <row r="12" spans="1:12" x14ac:dyDescent="0.3">
      <c r="A12">
        <v>0</v>
      </c>
      <c r="B12" t="s">
        <v>19</v>
      </c>
      <c r="C12">
        <v>0.5</v>
      </c>
      <c r="D12">
        <v>1</v>
      </c>
      <c r="E12">
        <v>0</v>
      </c>
      <c r="J12">
        <v>103.9177782025501</v>
      </c>
      <c r="K12">
        <v>9.5230834335071819</v>
      </c>
    </row>
    <row r="13" spans="1:12" x14ac:dyDescent="0.3">
      <c r="A13">
        <v>0</v>
      </c>
      <c r="B13" t="s">
        <v>9</v>
      </c>
      <c r="C13">
        <v>0.7</v>
      </c>
      <c r="D13">
        <v>1.5</v>
      </c>
      <c r="E13">
        <v>0.2</v>
      </c>
      <c r="J13">
        <v>26.860774867660879</v>
      </c>
      <c r="K13">
        <v>11.334379713408349</v>
      </c>
    </row>
    <row r="14" spans="1:12" x14ac:dyDescent="0.3">
      <c r="A14">
        <v>0</v>
      </c>
      <c r="B14" t="s">
        <v>10</v>
      </c>
      <c r="C14">
        <v>0.8</v>
      </c>
      <c r="D14">
        <v>1</v>
      </c>
      <c r="E14">
        <v>3</v>
      </c>
      <c r="J14">
        <v>108.0731447081358</v>
      </c>
      <c r="K14">
        <v>5.6236050083505607</v>
      </c>
    </row>
    <row r="15" spans="1:12" x14ac:dyDescent="0.3">
      <c r="A15">
        <v>0</v>
      </c>
      <c r="B15" t="s">
        <v>11</v>
      </c>
      <c r="C15">
        <v>0.4</v>
      </c>
      <c r="D15">
        <v>0.7</v>
      </c>
      <c r="E15">
        <v>2</v>
      </c>
      <c r="J15">
        <v>65.100038956943706</v>
      </c>
      <c r="K15">
        <v>63.101352227691507</v>
      </c>
    </row>
    <row r="16" spans="1:12" x14ac:dyDescent="0.3">
      <c r="A16">
        <v>0</v>
      </c>
      <c r="B16" t="s">
        <v>12</v>
      </c>
      <c r="C16">
        <v>0.6</v>
      </c>
      <c r="D16">
        <v>0.9</v>
      </c>
      <c r="E16">
        <v>1.2</v>
      </c>
      <c r="J16">
        <v>65.587041664386732</v>
      </c>
      <c r="K16">
        <v>6.4226977938131293</v>
      </c>
    </row>
    <row r="17" spans="1:12" x14ac:dyDescent="0.3">
      <c r="A17">
        <v>0</v>
      </c>
      <c r="B17" t="s">
        <v>13</v>
      </c>
      <c r="C17">
        <v>0.9</v>
      </c>
      <c r="D17">
        <v>1</v>
      </c>
      <c r="E17">
        <v>0.6</v>
      </c>
      <c r="J17">
        <v>6.5541328705162769</v>
      </c>
      <c r="K17">
        <v>148.55600536629501</v>
      </c>
    </row>
    <row r="18" spans="1:12" x14ac:dyDescent="0.3">
      <c r="A18">
        <v>0</v>
      </c>
      <c r="B18" t="s">
        <v>14</v>
      </c>
      <c r="C18">
        <v>0.8</v>
      </c>
      <c r="D18">
        <v>1.1000000000000001</v>
      </c>
      <c r="E18">
        <v>0.4</v>
      </c>
      <c r="J18">
        <v>16.699443678476431</v>
      </c>
      <c r="K18">
        <v>18.297445676285641</v>
      </c>
    </row>
    <row r="19" spans="1:12" x14ac:dyDescent="0.3">
      <c r="A19">
        <v>0</v>
      </c>
      <c r="B19" t="s">
        <v>15</v>
      </c>
      <c r="C19">
        <v>0.5</v>
      </c>
      <c r="D19">
        <v>0.8</v>
      </c>
      <c r="E19">
        <v>1.5</v>
      </c>
      <c r="J19">
        <v>22.021758685506281</v>
      </c>
      <c r="K19">
        <v>48.983174667328527</v>
      </c>
    </row>
    <row r="20" spans="1:12" x14ac:dyDescent="0.3">
      <c r="A20">
        <v>0</v>
      </c>
      <c r="B20" t="s">
        <v>16</v>
      </c>
      <c r="C20">
        <v>0.9</v>
      </c>
      <c r="D20">
        <v>1.4</v>
      </c>
      <c r="E20">
        <v>0.8</v>
      </c>
      <c r="J20">
        <v>25.894838921060138</v>
      </c>
      <c r="K20">
        <v>11.85213085855947</v>
      </c>
    </row>
    <row r="21" spans="1:12" x14ac:dyDescent="0.3">
      <c r="A21">
        <v>0</v>
      </c>
      <c r="B21" t="s">
        <v>17</v>
      </c>
      <c r="C21">
        <v>0.1</v>
      </c>
      <c r="D21">
        <v>0.7</v>
      </c>
      <c r="E21">
        <v>2.5</v>
      </c>
      <c r="J21">
        <v>49.207124102601377</v>
      </c>
      <c r="K21">
        <v>48.371809531943079</v>
      </c>
    </row>
    <row r="22" spans="1:12" x14ac:dyDescent="0.3">
      <c r="A22">
        <v>0</v>
      </c>
      <c r="B22" t="s">
        <v>18</v>
      </c>
      <c r="C22">
        <v>0.2</v>
      </c>
      <c r="D22">
        <v>1.3</v>
      </c>
      <c r="E22">
        <v>1.7</v>
      </c>
      <c r="J22">
        <v>55.636769044271936</v>
      </c>
      <c r="K22">
        <v>10.222326190664051</v>
      </c>
    </row>
    <row r="23" spans="1:12" x14ac:dyDescent="0.3">
      <c r="A23">
        <v>0</v>
      </c>
      <c r="B23" t="s">
        <v>19</v>
      </c>
      <c r="C23">
        <v>0.3</v>
      </c>
      <c r="D23">
        <v>1.2</v>
      </c>
      <c r="E23">
        <v>2.2000000000000002</v>
      </c>
      <c r="J23">
        <v>50.668982691590237</v>
      </c>
      <c r="K23">
        <v>20.36255009515158</v>
      </c>
    </row>
    <row r="24" spans="1:12" x14ac:dyDescent="0.3">
      <c r="A24">
        <v>1</v>
      </c>
      <c r="B24" t="s">
        <v>11</v>
      </c>
      <c r="C24">
        <v>0.49</v>
      </c>
      <c r="D24">
        <v>1.19</v>
      </c>
      <c r="E24">
        <v>0</v>
      </c>
      <c r="F24" t="s">
        <v>20</v>
      </c>
      <c r="G24" t="s">
        <v>21</v>
      </c>
      <c r="H24" t="s">
        <v>6</v>
      </c>
      <c r="I24">
        <v>31</v>
      </c>
      <c r="J24">
        <v>90.604780063621803</v>
      </c>
      <c r="K24">
        <v>59.02078456123774</v>
      </c>
    </row>
    <row r="25" spans="1:12" x14ac:dyDescent="0.3">
      <c r="A25">
        <v>1</v>
      </c>
      <c r="B25" t="s">
        <v>12</v>
      </c>
      <c r="C25">
        <v>0.9</v>
      </c>
      <c r="D25">
        <v>1.5</v>
      </c>
      <c r="E25">
        <v>3</v>
      </c>
      <c r="F25" t="s">
        <v>20</v>
      </c>
      <c r="G25" t="s">
        <v>22</v>
      </c>
      <c r="H25" t="s">
        <v>6</v>
      </c>
      <c r="I25">
        <v>0</v>
      </c>
      <c r="J25">
        <v>1</v>
      </c>
      <c r="K25">
        <v>200</v>
      </c>
      <c r="L25" s="40" t="s">
        <v>39</v>
      </c>
    </row>
    <row r="26" spans="1:12" x14ac:dyDescent="0.3">
      <c r="A26">
        <v>1</v>
      </c>
      <c r="B26" t="s">
        <v>12</v>
      </c>
      <c r="C26">
        <v>0.36</v>
      </c>
      <c r="D26">
        <v>0.89</v>
      </c>
      <c r="E26">
        <v>0</v>
      </c>
      <c r="F26" t="s">
        <v>20</v>
      </c>
      <c r="G26" t="s">
        <v>23</v>
      </c>
      <c r="H26" t="s">
        <v>6</v>
      </c>
      <c r="I26">
        <v>0</v>
      </c>
      <c r="J26">
        <v>54.830669972904701</v>
      </c>
      <c r="K26">
        <v>4.2677310367707744</v>
      </c>
    </row>
    <row r="27" spans="1:12" x14ac:dyDescent="0.3">
      <c r="A27">
        <v>1</v>
      </c>
      <c r="B27" t="s">
        <v>17</v>
      </c>
      <c r="C27">
        <v>0.39</v>
      </c>
      <c r="D27">
        <v>1.1499999999999999</v>
      </c>
      <c r="E27">
        <v>0</v>
      </c>
      <c r="F27" t="s">
        <v>20</v>
      </c>
      <c r="G27" t="s">
        <v>24</v>
      </c>
      <c r="H27" t="s">
        <v>6</v>
      </c>
      <c r="I27">
        <v>5</v>
      </c>
      <c r="J27">
        <v>200.65998044343519</v>
      </c>
      <c r="K27">
        <v>36.698760891467899</v>
      </c>
    </row>
    <row r="28" spans="1:12" x14ac:dyDescent="0.3">
      <c r="A28">
        <v>1</v>
      </c>
      <c r="B28" t="s">
        <v>17</v>
      </c>
      <c r="C28">
        <v>0.53</v>
      </c>
      <c r="D28">
        <v>0.84</v>
      </c>
      <c r="E28">
        <v>0</v>
      </c>
      <c r="F28" t="s">
        <v>20</v>
      </c>
      <c r="G28" t="s">
        <v>25</v>
      </c>
      <c r="H28" t="s">
        <v>6</v>
      </c>
      <c r="I28">
        <v>4</v>
      </c>
      <c r="J28">
        <v>198.49891611218121</v>
      </c>
      <c r="K28">
        <v>41.692474995152537</v>
      </c>
    </row>
    <row r="29" spans="1:12" x14ac:dyDescent="0.3">
      <c r="A29">
        <v>1</v>
      </c>
      <c r="B29" t="s">
        <v>19</v>
      </c>
      <c r="C29">
        <v>0.4</v>
      </c>
      <c r="D29">
        <v>0.7</v>
      </c>
      <c r="E29">
        <v>0</v>
      </c>
      <c r="F29" t="s">
        <v>26</v>
      </c>
      <c r="G29" t="s">
        <v>21</v>
      </c>
      <c r="H29" t="s">
        <v>6</v>
      </c>
      <c r="I29">
        <v>0</v>
      </c>
      <c r="J29">
        <v>35.114127651849373</v>
      </c>
      <c r="K29">
        <v>22.88186242310875</v>
      </c>
    </row>
    <row r="30" spans="1:12" x14ac:dyDescent="0.3">
      <c r="A30">
        <v>1</v>
      </c>
      <c r="B30" t="s">
        <v>12</v>
      </c>
      <c r="C30">
        <v>0.26</v>
      </c>
      <c r="D30">
        <v>0.78</v>
      </c>
      <c r="E30">
        <v>0</v>
      </c>
      <c r="F30" t="s">
        <v>26</v>
      </c>
      <c r="G30" t="s">
        <v>22</v>
      </c>
      <c r="H30" t="s">
        <v>6</v>
      </c>
      <c r="I30">
        <v>35</v>
      </c>
      <c r="J30">
        <v>48.659805870907341</v>
      </c>
      <c r="K30">
        <v>4.7795402665789988</v>
      </c>
    </row>
    <row r="31" spans="1:12" x14ac:dyDescent="0.3">
      <c r="A31">
        <v>1</v>
      </c>
      <c r="B31" t="s">
        <v>17</v>
      </c>
      <c r="C31">
        <v>0.45</v>
      </c>
      <c r="D31">
        <v>0.79</v>
      </c>
      <c r="E31">
        <v>0</v>
      </c>
      <c r="F31" t="s">
        <v>26</v>
      </c>
      <c r="G31" t="s">
        <v>23</v>
      </c>
      <c r="H31" t="s">
        <v>6</v>
      </c>
      <c r="I31">
        <v>16</v>
      </c>
      <c r="J31">
        <v>158.25973518287779</v>
      </c>
      <c r="K31">
        <v>44.940748569542102</v>
      </c>
    </row>
    <row r="32" spans="1:12" x14ac:dyDescent="0.3">
      <c r="A32">
        <v>1</v>
      </c>
      <c r="B32" t="s">
        <v>12</v>
      </c>
      <c r="C32">
        <v>0.31</v>
      </c>
      <c r="D32">
        <v>1.0900000000000001</v>
      </c>
      <c r="E32">
        <v>0</v>
      </c>
      <c r="F32" t="s">
        <v>26</v>
      </c>
      <c r="G32" t="s">
        <v>24</v>
      </c>
      <c r="H32" t="s">
        <v>6</v>
      </c>
      <c r="I32">
        <v>0</v>
      </c>
      <c r="J32">
        <v>59.454230773235942</v>
      </c>
      <c r="K32">
        <v>3.6578773626672469</v>
      </c>
    </row>
    <row r="33" spans="1:12" x14ac:dyDescent="0.3">
      <c r="A33">
        <v>1</v>
      </c>
      <c r="B33" t="s">
        <v>17</v>
      </c>
      <c r="C33">
        <v>0.35</v>
      </c>
      <c r="D33">
        <v>0.94</v>
      </c>
      <c r="E33">
        <v>0</v>
      </c>
      <c r="F33" t="s">
        <v>26</v>
      </c>
      <c r="G33" t="s">
        <v>25</v>
      </c>
      <c r="H33" t="s">
        <v>6</v>
      </c>
      <c r="I33">
        <v>10</v>
      </c>
      <c r="J33">
        <v>164.86104730972119</v>
      </c>
      <c r="K33">
        <v>37.980726354880012</v>
      </c>
    </row>
    <row r="34" spans="1:12" x14ac:dyDescent="0.3">
      <c r="A34">
        <v>1</v>
      </c>
      <c r="B34" t="s">
        <v>12</v>
      </c>
      <c r="C34">
        <v>0.43</v>
      </c>
      <c r="D34">
        <v>0.82</v>
      </c>
      <c r="E34">
        <v>0</v>
      </c>
      <c r="F34" t="s">
        <v>20</v>
      </c>
      <c r="G34" t="s">
        <v>21</v>
      </c>
      <c r="H34" t="s">
        <v>7</v>
      </c>
      <c r="I34">
        <v>18</v>
      </c>
      <c r="J34">
        <v>57.929644525853568</v>
      </c>
      <c r="K34">
        <v>4.2203937543896259</v>
      </c>
    </row>
    <row r="35" spans="1:12" x14ac:dyDescent="0.3">
      <c r="A35">
        <v>1</v>
      </c>
      <c r="B35" t="s">
        <v>19</v>
      </c>
      <c r="C35">
        <v>0.48</v>
      </c>
      <c r="D35">
        <v>1.1599999999999999</v>
      </c>
      <c r="E35">
        <v>0</v>
      </c>
      <c r="F35" t="s">
        <v>20</v>
      </c>
      <c r="G35" t="s">
        <v>22</v>
      </c>
      <c r="H35" t="s">
        <v>7</v>
      </c>
      <c r="I35">
        <v>32</v>
      </c>
      <c r="J35">
        <v>99.362006523173577</v>
      </c>
      <c r="K35">
        <v>10.040417830385151</v>
      </c>
      <c r="L35" s="38"/>
    </row>
    <row r="36" spans="1:12" x14ac:dyDescent="0.3">
      <c r="A36">
        <v>1</v>
      </c>
      <c r="B36" t="s">
        <v>16</v>
      </c>
      <c r="C36">
        <v>0.6</v>
      </c>
      <c r="D36">
        <v>1.1399999999999999</v>
      </c>
      <c r="E36">
        <v>0.06</v>
      </c>
      <c r="F36" t="s">
        <v>20</v>
      </c>
      <c r="G36" t="s">
        <v>23</v>
      </c>
      <c r="H36" t="s">
        <v>7</v>
      </c>
      <c r="I36">
        <v>36</v>
      </c>
      <c r="J36">
        <v>26.16422458027542</v>
      </c>
      <c r="K36">
        <v>7.8785334258730808</v>
      </c>
    </row>
    <row r="37" spans="1:12" x14ac:dyDescent="0.3">
      <c r="A37">
        <v>1</v>
      </c>
      <c r="B37" t="s">
        <v>16</v>
      </c>
      <c r="C37">
        <v>0.4</v>
      </c>
      <c r="D37">
        <v>0.87</v>
      </c>
      <c r="E37">
        <v>0</v>
      </c>
      <c r="F37" t="s">
        <v>20</v>
      </c>
      <c r="G37" t="s">
        <v>24</v>
      </c>
      <c r="H37" t="s">
        <v>7</v>
      </c>
      <c r="I37">
        <v>20</v>
      </c>
      <c r="J37">
        <v>26.382553030020318</v>
      </c>
      <c r="K37">
        <v>7.9517107751359628</v>
      </c>
    </row>
    <row r="38" spans="1:12" x14ac:dyDescent="0.3">
      <c r="A38">
        <v>1</v>
      </c>
      <c r="B38" t="s">
        <v>16</v>
      </c>
      <c r="C38">
        <v>0.14000000000000001</v>
      </c>
      <c r="D38">
        <v>1.26</v>
      </c>
      <c r="E38">
        <v>0.14000000000000001</v>
      </c>
      <c r="F38" t="s">
        <v>20</v>
      </c>
      <c r="G38" t="s">
        <v>25</v>
      </c>
      <c r="H38" t="s">
        <v>7</v>
      </c>
      <c r="I38">
        <v>0</v>
      </c>
      <c r="J38">
        <v>25.128609855567039</v>
      </c>
      <c r="K38">
        <v>7.6201227302295136</v>
      </c>
    </row>
    <row r="39" spans="1:12" x14ac:dyDescent="0.3">
      <c r="A39">
        <v>1</v>
      </c>
      <c r="B39" t="s">
        <v>10</v>
      </c>
      <c r="C39">
        <v>0.43</v>
      </c>
      <c r="D39">
        <v>1.17</v>
      </c>
      <c r="E39">
        <v>0</v>
      </c>
      <c r="F39" t="s">
        <v>26</v>
      </c>
      <c r="G39" t="s">
        <v>21</v>
      </c>
      <c r="H39" t="s">
        <v>7</v>
      </c>
      <c r="I39">
        <v>34</v>
      </c>
      <c r="J39">
        <v>52.747799080592323</v>
      </c>
      <c r="K39">
        <v>3.9392304192243941</v>
      </c>
    </row>
    <row r="40" spans="1:12" x14ac:dyDescent="0.3">
      <c r="A40">
        <v>1</v>
      </c>
      <c r="B40" t="s">
        <v>16</v>
      </c>
      <c r="C40">
        <v>0.57999999999999996</v>
      </c>
      <c r="D40">
        <v>1.19</v>
      </c>
      <c r="E40">
        <v>0</v>
      </c>
      <c r="F40" t="s">
        <v>26</v>
      </c>
      <c r="G40" t="s">
        <v>22</v>
      </c>
      <c r="H40" t="s">
        <v>7</v>
      </c>
      <c r="I40">
        <v>36</v>
      </c>
      <c r="J40">
        <v>30.894397152307821</v>
      </c>
      <c r="K40">
        <v>6.2298402065032841</v>
      </c>
    </row>
    <row r="41" spans="1:12" x14ac:dyDescent="0.3">
      <c r="A41">
        <v>1</v>
      </c>
      <c r="B41" t="s">
        <v>12</v>
      </c>
      <c r="C41">
        <v>0.64</v>
      </c>
      <c r="D41">
        <v>1.06</v>
      </c>
      <c r="E41">
        <v>0.3</v>
      </c>
      <c r="F41" t="s">
        <v>26</v>
      </c>
      <c r="G41" t="s">
        <v>23</v>
      </c>
      <c r="H41" t="s">
        <v>7</v>
      </c>
      <c r="I41">
        <v>32</v>
      </c>
      <c r="J41">
        <v>37.01765577634221</v>
      </c>
      <c r="K41">
        <v>7.7641019007912364</v>
      </c>
    </row>
    <row r="42" spans="1:12" x14ac:dyDescent="0.3">
      <c r="A42">
        <v>1</v>
      </c>
      <c r="B42" t="s">
        <v>16</v>
      </c>
      <c r="C42">
        <v>0.33</v>
      </c>
      <c r="D42">
        <v>1.26</v>
      </c>
      <c r="E42">
        <v>0.25</v>
      </c>
      <c r="F42" t="s">
        <v>26</v>
      </c>
      <c r="G42" t="s">
        <v>24</v>
      </c>
      <c r="H42" t="s">
        <v>7</v>
      </c>
      <c r="I42">
        <v>28</v>
      </c>
      <c r="J42">
        <v>23.693394069788791</v>
      </c>
      <c r="K42">
        <v>9.1384356291694075</v>
      </c>
    </row>
    <row r="43" spans="1:12" x14ac:dyDescent="0.3">
      <c r="A43">
        <v>1</v>
      </c>
      <c r="B43" t="s">
        <v>12</v>
      </c>
      <c r="C43">
        <v>0.49</v>
      </c>
      <c r="D43">
        <v>1.23</v>
      </c>
      <c r="E43">
        <v>0.4</v>
      </c>
      <c r="F43" t="s">
        <v>26</v>
      </c>
      <c r="G43" t="s">
        <v>25</v>
      </c>
      <c r="H43" t="s">
        <v>7</v>
      </c>
      <c r="I43">
        <v>33</v>
      </c>
      <c r="J43">
        <v>56.24651625275753</v>
      </c>
      <c r="K43">
        <v>4.9593105404671869</v>
      </c>
    </row>
    <row r="44" spans="1:12" x14ac:dyDescent="0.3">
      <c r="A44">
        <v>2</v>
      </c>
      <c r="B44" t="s">
        <v>10</v>
      </c>
      <c r="C44">
        <v>0.54</v>
      </c>
      <c r="D44">
        <v>0.82</v>
      </c>
      <c r="E44">
        <v>0</v>
      </c>
      <c r="F44" t="s">
        <v>20</v>
      </c>
      <c r="G44" t="s">
        <v>21</v>
      </c>
      <c r="H44" t="s">
        <v>6</v>
      </c>
      <c r="I44">
        <v>15</v>
      </c>
      <c r="J44">
        <v>55.923933308167179</v>
      </c>
      <c r="K44">
        <v>4.1851078369429251</v>
      </c>
    </row>
    <row r="45" spans="1:12" x14ac:dyDescent="0.3">
      <c r="A45">
        <v>2</v>
      </c>
      <c r="B45" t="s">
        <v>17</v>
      </c>
      <c r="C45">
        <v>0.68</v>
      </c>
      <c r="D45">
        <v>0.89</v>
      </c>
      <c r="E45">
        <v>0</v>
      </c>
      <c r="F45" t="s">
        <v>20</v>
      </c>
      <c r="G45" t="s">
        <v>22</v>
      </c>
      <c r="H45" t="s">
        <v>6</v>
      </c>
      <c r="I45">
        <v>10</v>
      </c>
      <c r="J45">
        <v>167.626919071597</v>
      </c>
      <c r="K45">
        <v>60.596652716485707</v>
      </c>
    </row>
    <row r="46" spans="1:12" x14ac:dyDescent="0.3">
      <c r="A46">
        <v>2</v>
      </c>
      <c r="B46" t="s">
        <v>19</v>
      </c>
      <c r="C46">
        <v>0.51</v>
      </c>
      <c r="D46">
        <v>1.5</v>
      </c>
      <c r="E46">
        <v>0</v>
      </c>
      <c r="F46" t="s">
        <v>20</v>
      </c>
      <c r="G46" t="s">
        <v>23</v>
      </c>
      <c r="H46" t="s">
        <v>6</v>
      </c>
      <c r="I46">
        <v>0</v>
      </c>
      <c r="J46">
        <v>153.7379066257804</v>
      </c>
      <c r="K46">
        <v>7.0358546197945522</v>
      </c>
    </row>
    <row r="47" spans="1:12" x14ac:dyDescent="0.3">
      <c r="A47">
        <v>2</v>
      </c>
      <c r="B47" t="s">
        <v>18</v>
      </c>
      <c r="C47">
        <v>0.9</v>
      </c>
      <c r="D47">
        <v>0.7</v>
      </c>
      <c r="E47">
        <v>3</v>
      </c>
      <c r="F47" t="s">
        <v>20</v>
      </c>
      <c r="G47" t="s">
        <v>24</v>
      </c>
      <c r="H47" t="s">
        <v>6</v>
      </c>
      <c r="I47">
        <v>0</v>
      </c>
      <c r="J47">
        <v>69.938328665940375</v>
      </c>
      <c r="K47">
        <v>15.41589815328201</v>
      </c>
    </row>
    <row r="48" spans="1:12" x14ac:dyDescent="0.3">
      <c r="A48">
        <v>2</v>
      </c>
      <c r="B48" t="s">
        <v>10</v>
      </c>
      <c r="C48">
        <v>0.9</v>
      </c>
      <c r="D48">
        <v>0.7</v>
      </c>
      <c r="E48">
        <v>3</v>
      </c>
      <c r="F48" t="s">
        <v>20</v>
      </c>
      <c r="G48" t="s">
        <v>25</v>
      </c>
      <c r="H48" t="s">
        <v>6</v>
      </c>
      <c r="I48">
        <v>0</v>
      </c>
      <c r="J48">
        <v>72.052330211547783</v>
      </c>
      <c r="K48">
        <v>9.7345190148377156</v>
      </c>
    </row>
    <row r="49" spans="1:12" x14ac:dyDescent="0.3">
      <c r="A49">
        <v>2</v>
      </c>
      <c r="B49" t="s">
        <v>18</v>
      </c>
      <c r="C49">
        <v>0.68</v>
      </c>
      <c r="D49">
        <v>1.1299999999999999</v>
      </c>
      <c r="E49">
        <v>0</v>
      </c>
      <c r="F49" t="s">
        <v>26</v>
      </c>
      <c r="G49" t="s">
        <v>21</v>
      </c>
      <c r="H49" t="s">
        <v>6</v>
      </c>
      <c r="I49">
        <v>29</v>
      </c>
      <c r="J49">
        <v>79.001720537837869</v>
      </c>
      <c r="K49">
        <v>7.8206321698429733</v>
      </c>
    </row>
    <row r="50" spans="1:12" x14ac:dyDescent="0.3">
      <c r="A50">
        <v>2</v>
      </c>
      <c r="B50" t="s">
        <v>19</v>
      </c>
      <c r="C50">
        <v>0.14000000000000001</v>
      </c>
      <c r="D50">
        <v>1.43</v>
      </c>
      <c r="E50">
        <v>1</v>
      </c>
      <c r="F50" t="s">
        <v>26</v>
      </c>
      <c r="G50" t="s">
        <v>22</v>
      </c>
      <c r="H50" t="s">
        <v>6</v>
      </c>
      <c r="I50">
        <v>0</v>
      </c>
      <c r="J50">
        <v>74.03549668004095</v>
      </c>
      <c r="K50">
        <v>8.3856286993397422</v>
      </c>
    </row>
    <row r="51" spans="1:12" x14ac:dyDescent="0.3">
      <c r="A51">
        <v>2</v>
      </c>
      <c r="B51" t="s">
        <v>11</v>
      </c>
      <c r="C51">
        <v>0.63</v>
      </c>
      <c r="D51">
        <v>0.82</v>
      </c>
      <c r="E51">
        <v>0</v>
      </c>
      <c r="F51" t="s">
        <v>26</v>
      </c>
      <c r="G51" t="s">
        <v>23</v>
      </c>
      <c r="H51" t="s">
        <v>6</v>
      </c>
      <c r="I51">
        <v>29</v>
      </c>
      <c r="J51">
        <v>133.6301903168665</v>
      </c>
      <c r="K51">
        <v>41.970924590853627</v>
      </c>
    </row>
    <row r="52" spans="1:12" x14ac:dyDescent="0.3">
      <c r="A52">
        <v>2</v>
      </c>
      <c r="B52" t="s">
        <v>17</v>
      </c>
      <c r="C52">
        <v>0.74</v>
      </c>
      <c r="D52">
        <v>0.96</v>
      </c>
      <c r="E52">
        <v>0.18</v>
      </c>
      <c r="F52" t="s">
        <v>26</v>
      </c>
      <c r="G52" t="s">
        <v>24</v>
      </c>
      <c r="H52" t="s">
        <v>6</v>
      </c>
      <c r="I52">
        <v>14</v>
      </c>
      <c r="J52">
        <v>280.19360324160539</v>
      </c>
      <c r="K52">
        <v>39.557933792863821</v>
      </c>
    </row>
    <row r="53" spans="1:12" x14ac:dyDescent="0.3">
      <c r="A53">
        <v>2</v>
      </c>
      <c r="B53" t="s">
        <v>10</v>
      </c>
      <c r="C53">
        <v>0.78</v>
      </c>
      <c r="D53">
        <v>1.1499999999999999</v>
      </c>
      <c r="E53">
        <v>2.8</v>
      </c>
      <c r="F53" t="s">
        <v>26</v>
      </c>
      <c r="G53" t="s">
        <v>25</v>
      </c>
      <c r="H53" t="s">
        <v>6</v>
      </c>
      <c r="I53">
        <v>0</v>
      </c>
      <c r="J53">
        <v>120.7215748473278</v>
      </c>
      <c r="K53">
        <v>4.5423349407134914</v>
      </c>
    </row>
    <row r="54" spans="1:12" x14ac:dyDescent="0.3">
      <c r="A54">
        <v>2</v>
      </c>
      <c r="B54" t="s">
        <v>19</v>
      </c>
      <c r="C54">
        <v>0.3</v>
      </c>
      <c r="D54">
        <v>0.7</v>
      </c>
      <c r="E54">
        <v>0</v>
      </c>
      <c r="F54" t="s">
        <v>20</v>
      </c>
      <c r="G54" t="s">
        <v>21</v>
      </c>
      <c r="H54" t="s">
        <v>7</v>
      </c>
      <c r="I54">
        <v>0</v>
      </c>
      <c r="J54">
        <v>42.274624116336163</v>
      </c>
      <c r="K54">
        <v>16.18197467852022</v>
      </c>
    </row>
    <row r="55" spans="1:12" x14ac:dyDescent="0.3">
      <c r="A55">
        <v>2</v>
      </c>
      <c r="B55" t="s">
        <v>16</v>
      </c>
      <c r="C55">
        <v>0.56000000000000005</v>
      </c>
      <c r="D55">
        <v>0.85</v>
      </c>
      <c r="E55">
        <v>0</v>
      </c>
      <c r="F55" t="s">
        <v>20</v>
      </c>
      <c r="G55" t="s">
        <v>22</v>
      </c>
      <c r="H55" t="s">
        <v>7</v>
      </c>
      <c r="I55">
        <v>33</v>
      </c>
      <c r="J55">
        <v>32.678938099924537</v>
      </c>
      <c r="K55">
        <v>6.6389322877375383</v>
      </c>
    </row>
    <row r="56" spans="1:12" x14ac:dyDescent="0.3">
      <c r="A56">
        <v>2</v>
      </c>
      <c r="B56" t="s">
        <v>12</v>
      </c>
      <c r="C56">
        <v>0.18</v>
      </c>
      <c r="D56">
        <v>0.98</v>
      </c>
      <c r="E56">
        <v>0</v>
      </c>
      <c r="F56" t="s">
        <v>20</v>
      </c>
      <c r="G56" t="s">
        <v>23</v>
      </c>
      <c r="H56" t="s">
        <v>7</v>
      </c>
      <c r="I56">
        <v>21</v>
      </c>
      <c r="J56">
        <v>58.368322008494872</v>
      </c>
      <c r="K56">
        <v>3.5828496136982508</v>
      </c>
    </row>
    <row r="57" spans="1:12" x14ac:dyDescent="0.3">
      <c r="A57">
        <v>2</v>
      </c>
      <c r="B57" t="s">
        <v>12</v>
      </c>
      <c r="C57">
        <v>0.9</v>
      </c>
      <c r="D57">
        <v>0.95</v>
      </c>
      <c r="E57">
        <v>0</v>
      </c>
      <c r="F57" t="s">
        <v>20</v>
      </c>
      <c r="G57" t="s">
        <v>24</v>
      </c>
      <c r="H57" t="s">
        <v>7</v>
      </c>
      <c r="I57">
        <v>0</v>
      </c>
      <c r="J57">
        <v>1.2210903740962959</v>
      </c>
      <c r="K57">
        <v>222.75708445532501</v>
      </c>
      <c r="L57" s="40" t="s">
        <v>163</v>
      </c>
    </row>
    <row r="58" spans="1:12" x14ac:dyDescent="0.3">
      <c r="A58">
        <v>2</v>
      </c>
      <c r="B58" t="s">
        <v>14</v>
      </c>
      <c r="C58">
        <v>0.1</v>
      </c>
      <c r="D58">
        <v>1</v>
      </c>
      <c r="E58">
        <v>0</v>
      </c>
      <c r="F58" t="s">
        <v>20</v>
      </c>
      <c r="G58" t="s">
        <v>25</v>
      </c>
      <c r="H58" t="s">
        <v>7</v>
      </c>
      <c r="I58">
        <v>2</v>
      </c>
      <c r="J58">
        <v>39.83845933014068</v>
      </c>
      <c r="K58">
        <v>4.8992611487888453</v>
      </c>
    </row>
    <row r="59" spans="1:12" x14ac:dyDescent="0.3">
      <c r="A59">
        <v>2</v>
      </c>
      <c r="B59" t="s">
        <v>14</v>
      </c>
      <c r="C59">
        <v>0.38</v>
      </c>
      <c r="D59">
        <v>0.82</v>
      </c>
      <c r="E59">
        <v>0</v>
      </c>
      <c r="F59" t="s">
        <v>26</v>
      </c>
      <c r="G59" t="s">
        <v>21</v>
      </c>
      <c r="H59" t="s">
        <v>7</v>
      </c>
      <c r="I59">
        <v>0</v>
      </c>
      <c r="J59">
        <v>12.3365926595672</v>
      </c>
      <c r="K59">
        <v>19.090846609511331</v>
      </c>
    </row>
    <row r="60" spans="1:12" x14ac:dyDescent="0.3">
      <c r="A60">
        <v>2</v>
      </c>
      <c r="B60" t="s">
        <v>9</v>
      </c>
      <c r="C60">
        <v>0.37</v>
      </c>
      <c r="D60">
        <v>1.17</v>
      </c>
      <c r="E60">
        <v>0</v>
      </c>
      <c r="F60" t="s">
        <v>26</v>
      </c>
      <c r="G60" t="s">
        <v>22</v>
      </c>
      <c r="H60" t="s">
        <v>7</v>
      </c>
      <c r="I60">
        <v>0</v>
      </c>
      <c r="J60">
        <v>33.686094653397973</v>
      </c>
      <c r="K60">
        <v>7.1189157374022756</v>
      </c>
    </row>
    <row r="61" spans="1:12" x14ac:dyDescent="0.3">
      <c r="A61">
        <v>2</v>
      </c>
      <c r="B61" t="s">
        <v>10</v>
      </c>
      <c r="C61">
        <v>0.22</v>
      </c>
      <c r="D61">
        <v>1.07</v>
      </c>
      <c r="E61">
        <v>0</v>
      </c>
      <c r="F61" t="s">
        <v>26</v>
      </c>
      <c r="G61" t="s">
        <v>23</v>
      </c>
      <c r="H61" t="s">
        <v>7</v>
      </c>
      <c r="I61">
        <v>1</v>
      </c>
      <c r="J61">
        <v>48.822631959179837</v>
      </c>
      <c r="K61">
        <v>4.0459133763726509</v>
      </c>
    </row>
    <row r="62" spans="1:12" x14ac:dyDescent="0.3">
      <c r="A62">
        <v>2</v>
      </c>
      <c r="B62" t="s">
        <v>12</v>
      </c>
      <c r="C62">
        <v>0.22</v>
      </c>
      <c r="D62">
        <v>1.1200000000000001</v>
      </c>
      <c r="E62">
        <v>1.26</v>
      </c>
      <c r="F62" t="s">
        <v>26</v>
      </c>
      <c r="G62" t="s">
        <v>24</v>
      </c>
      <c r="H62" t="s">
        <v>7</v>
      </c>
      <c r="I62">
        <v>10</v>
      </c>
      <c r="J62">
        <v>57.94385555805907</v>
      </c>
      <c r="K62">
        <v>6.7471818700230406</v>
      </c>
    </row>
    <row r="63" spans="1:12" x14ac:dyDescent="0.3">
      <c r="A63">
        <v>2</v>
      </c>
      <c r="B63" t="s">
        <v>14</v>
      </c>
      <c r="C63">
        <v>0.33</v>
      </c>
      <c r="D63">
        <v>1.02</v>
      </c>
      <c r="E63">
        <v>0</v>
      </c>
      <c r="F63" t="s">
        <v>26</v>
      </c>
      <c r="G63" t="s">
        <v>25</v>
      </c>
      <c r="H63" t="s">
        <v>7</v>
      </c>
      <c r="I63">
        <v>24</v>
      </c>
      <c r="J63">
        <v>12.030812482223331</v>
      </c>
      <c r="K63">
        <v>18.089913705487199</v>
      </c>
    </row>
    <row r="64" spans="1:12" x14ac:dyDescent="0.3">
      <c r="A64">
        <v>3</v>
      </c>
      <c r="B64" t="s">
        <v>17</v>
      </c>
      <c r="C64">
        <v>0.76</v>
      </c>
      <c r="D64">
        <v>1.1499999999999999</v>
      </c>
      <c r="E64">
        <v>0.15</v>
      </c>
      <c r="F64" t="s">
        <v>20</v>
      </c>
      <c r="G64" t="s">
        <v>21</v>
      </c>
      <c r="H64" t="s">
        <v>6</v>
      </c>
      <c r="I64">
        <v>10</v>
      </c>
      <c r="J64">
        <v>379.93286860000001</v>
      </c>
      <c r="K64">
        <v>31.470320510000001</v>
      </c>
    </row>
    <row r="65" spans="1:12" x14ac:dyDescent="0.3">
      <c r="A65">
        <v>3</v>
      </c>
      <c r="B65" t="s">
        <v>17</v>
      </c>
      <c r="C65">
        <v>0.89</v>
      </c>
      <c r="D65">
        <v>1.2</v>
      </c>
      <c r="E65">
        <v>0.48</v>
      </c>
      <c r="F65" t="s">
        <v>20</v>
      </c>
      <c r="G65" t="s">
        <v>22</v>
      </c>
      <c r="H65" t="s">
        <v>6</v>
      </c>
      <c r="I65">
        <v>28</v>
      </c>
      <c r="J65">
        <v>481.96978589999998</v>
      </c>
      <c r="K65">
        <v>27.838036460000001</v>
      </c>
    </row>
    <row r="66" spans="1:12" x14ac:dyDescent="0.3">
      <c r="A66">
        <v>3</v>
      </c>
      <c r="B66" t="s">
        <v>17</v>
      </c>
      <c r="C66">
        <v>0.9</v>
      </c>
      <c r="D66">
        <v>0.7</v>
      </c>
      <c r="E66">
        <v>0</v>
      </c>
      <c r="F66" t="s">
        <v>20</v>
      </c>
      <c r="G66" t="s">
        <v>23</v>
      </c>
      <c r="H66" t="s">
        <v>6</v>
      </c>
      <c r="I66">
        <v>25</v>
      </c>
      <c r="J66">
        <v>262.750632</v>
      </c>
      <c r="K66">
        <v>42.838859659999997</v>
      </c>
    </row>
    <row r="67" spans="1:12" x14ac:dyDescent="0.3">
      <c r="A67">
        <v>3</v>
      </c>
      <c r="B67" t="s">
        <v>17</v>
      </c>
      <c r="C67">
        <v>0.48</v>
      </c>
      <c r="D67">
        <v>1.5</v>
      </c>
      <c r="E67">
        <v>0</v>
      </c>
      <c r="F67" t="s">
        <v>20</v>
      </c>
      <c r="G67" t="s">
        <v>24</v>
      </c>
      <c r="H67" t="s">
        <v>6</v>
      </c>
      <c r="I67">
        <v>12</v>
      </c>
      <c r="J67">
        <v>249.21124940000001</v>
      </c>
      <c r="K67">
        <v>37.637088329999997</v>
      </c>
    </row>
    <row r="68" spans="1:12" x14ac:dyDescent="0.3">
      <c r="A68">
        <v>3</v>
      </c>
      <c r="B68" t="s">
        <v>11</v>
      </c>
      <c r="C68">
        <v>0.45</v>
      </c>
      <c r="D68">
        <v>0.83</v>
      </c>
      <c r="E68">
        <v>0</v>
      </c>
      <c r="F68" t="s">
        <v>20</v>
      </c>
      <c r="G68" t="s">
        <v>25</v>
      </c>
      <c r="H68" t="s">
        <v>6</v>
      </c>
      <c r="I68">
        <v>16</v>
      </c>
      <c r="J68">
        <v>87.601261039999997</v>
      </c>
      <c r="K68">
        <v>50.81400438</v>
      </c>
    </row>
    <row r="69" spans="1:12" x14ac:dyDescent="0.3">
      <c r="A69">
        <v>3</v>
      </c>
      <c r="B69" t="s">
        <v>13</v>
      </c>
      <c r="C69">
        <v>0.56999999999999995</v>
      </c>
      <c r="D69">
        <v>1.1299999999999999</v>
      </c>
      <c r="E69">
        <v>2.4700000000000002</v>
      </c>
      <c r="F69" t="s">
        <v>26</v>
      </c>
      <c r="G69" t="s">
        <v>21</v>
      </c>
      <c r="H69" t="s">
        <v>6</v>
      </c>
      <c r="I69">
        <v>0</v>
      </c>
      <c r="J69">
        <v>5.1207972939999999</v>
      </c>
      <c r="K69">
        <v>201.69131049999999</v>
      </c>
    </row>
    <row r="70" spans="1:12" x14ac:dyDescent="0.3">
      <c r="A70">
        <v>3</v>
      </c>
      <c r="B70" t="s">
        <v>17</v>
      </c>
      <c r="C70">
        <v>0.55000000000000004</v>
      </c>
      <c r="D70">
        <v>1.1499999999999999</v>
      </c>
      <c r="E70">
        <v>0.16</v>
      </c>
      <c r="F70" t="s">
        <v>26</v>
      </c>
      <c r="G70" t="s">
        <v>22</v>
      </c>
      <c r="H70" t="s">
        <v>6</v>
      </c>
      <c r="I70">
        <v>10</v>
      </c>
      <c r="J70">
        <v>280.26834869999999</v>
      </c>
      <c r="K70">
        <v>34.101238860000002</v>
      </c>
    </row>
    <row r="71" spans="1:12" x14ac:dyDescent="0.3">
      <c r="A71">
        <v>3</v>
      </c>
      <c r="B71" t="s">
        <v>17</v>
      </c>
      <c r="C71">
        <v>0.89</v>
      </c>
      <c r="D71">
        <v>1.03</v>
      </c>
      <c r="E71">
        <v>0.4</v>
      </c>
      <c r="F71" t="s">
        <v>26</v>
      </c>
      <c r="G71" t="s">
        <v>23</v>
      </c>
      <c r="H71" t="s">
        <v>6</v>
      </c>
      <c r="I71">
        <v>23</v>
      </c>
      <c r="J71">
        <v>454.289241</v>
      </c>
      <c r="K71">
        <v>28.2346936</v>
      </c>
    </row>
    <row r="72" spans="1:12" x14ac:dyDescent="0.3">
      <c r="A72">
        <v>3</v>
      </c>
      <c r="B72" t="s">
        <v>10</v>
      </c>
      <c r="C72">
        <v>0.59</v>
      </c>
      <c r="D72">
        <v>1.02</v>
      </c>
      <c r="E72">
        <v>2.88</v>
      </c>
      <c r="F72" t="s">
        <v>26</v>
      </c>
      <c r="G72" t="s">
        <v>24</v>
      </c>
      <c r="H72" t="s">
        <v>6</v>
      </c>
      <c r="I72">
        <v>5</v>
      </c>
      <c r="J72">
        <v>63.768581519999998</v>
      </c>
      <c r="K72">
        <v>9.5213582460000001</v>
      </c>
    </row>
    <row r="73" spans="1:12" x14ac:dyDescent="0.3">
      <c r="A73">
        <v>3</v>
      </c>
      <c r="B73" t="s">
        <v>10</v>
      </c>
      <c r="C73">
        <v>0.71</v>
      </c>
      <c r="D73">
        <v>1.21</v>
      </c>
      <c r="E73">
        <v>2.02</v>
      </c>
      <c r="F73" t="s">
        <v>26</v>
      </c>
      <c r="G73" t="s">
        <v>25</v>
      </c>
      <c r="H73" t="s">
        <v>6</v>
      </c>
      <c r="I73">
        <v>0</v>
      </c>
      <c r="J73">
        <v>108.569478</v>
      </c>
      <c r="K73">
        <v>4.1712402070000003</v>
      </c>
    </row>
    <row r="74" spans="1:12" x14ac:dyDescent="0.3">
      <c r="A74">
        <v>3</v>
      </c>
      <c r="B74" t="s">
        <v>12</v>
      </c>
      <c r="C74">
        <v>0.1</v>
      </c>
      <c r="D74">
        <v>0.73</v>
      </c>
      <c r="E74">
        <v>0</v>
      </c>
      <c r="F74" t="s">
        <v>20</v>
      </c>
      <c r="G74" t="s">
        <v>21</v>
      </c>
      <c r="H74" t="s">
        <v>7</v>
      </c>
      <c r="I74">
        <v>15</v>
      </c>
      <c r="J74">
        <v>34.749626480000003</v>
      </c>
      <c r="K74">
        <v>6.3810668240000004</v>
      </c>
    </row>
    <row r="75" spans="1:12" x14ac:dyDescent="0.3">
      <c r="A75">
        <v>3</v>
      </c>
      <c r="B75" t="s">
        <v>12</v>
      </c>
      <c r="C75">
        <v>0.38</v>
      </c>
      <c r="D75">
        <v>1</v>
      </c>
      <c r="E75">
        <v>0.47</v>
      </c>
      <c r="F75" t="s">
        <v>20</v>
      </c>
      <c r="G75" t="s">
        <v>22</v>
      </c>
      <c r="H75" t="s">
        <v>7</v>
      </c>
      <c r="I75">
        <v>21</v>
      </c>
      <c r="J75">
        <v>60.717597740000002</v>
      </c>
      <c r="K75">
        <v>4.9072127070000002</v>
      </c>
    </row>
    <row r="76" spans="1:12" x14ac:dyDescent="0.3">
      <c r="A76">
        <v>3</v>
      </c>
      <c r="B76" t="s">
        <v>12</v>
      </c>
      <c r="C76">
        <v>0.44</v>
      </c>
      <c r="D76">
        <v>0.91</v>
      </c>
      <c r="E76">
        <v>1.39</v>
      </c>
      <c r="F76" t="s">
        <v>20</v>
      </c>
      <c r="G76" t="s">
        <v>23</v>
      </c>
      <c r="H76" t="s">
        <v>7</v>
      </c>
      <c r="I76">
        <v>0</v>
      </c>
      <c r="J76">
        <v>1.1496087930000001</v>
      </c>
      <c r="K76">
        <v>388.75080589999999</v>
      </c>
      <c r="L76" s="40" t="s">
        <v>163</v>
      </c>
    </row>
    <row r="77" spans="1:12" x14ac:dyDescent="0.3">
      <c r="A77">
        <v>3</v>
      </c>
      <c r="B77" t="s">
        <v>10</v>
      </c>
      <c r="C77">
        <v>0.32</v>
      </c>
      <c r="D77">
        <v>0.93</v>
      </c>
      <c r="E77">
        <v>0</v>
      </c>
      <c r="F77" t="s">
        <v>20</v>
      </c>
      <c r="G77" t="s">
        <v>24</v>
      </c>
      <c r="H77" t="s">
        <v>7</v>
      </c>
      <c r="I77">
        <v>8</v>
      </c>
      <c r="J77">
        <v>45.01712354</v>
      </c>
      <c r="K77">
        <v>4.7583724629999997</v>
      </c>
    </row>
    <row r="78" spans="1:12" x14ac:dyDescent="0.3">
      <c r="A78">
        <v>3</v>
      </c>
      <c r="B78" t="s">
        <v>19</v>
      </c>
      <c r="C78">
        <v>0.1</v>
      </c>
      <c r="D78">
        <v>0.78</v>
      </c>
      <c r="E78">
        <v>0</v>
      </c>
      <c r="F78" t="s">
        <v>20</v>
      </c>
      <c r="G78" t="s">
        <v>25</v>
      </c>
      <c r="H78" t="s">
        <v>7</v>
      </c>
      <c r="I78">
        <v>14</v>
      </c>
      <c r="J78">
        <v>12.907511530000001</v>
      </c>
      <c r="K78">
        <v>30.657869890000001</v>
      </c>
    </row>
    <row r="79" spans="1:12" x14ac:dyDescent="0.3">
      <c r="A79">
        <v>3</v>
      </c>
      <c r="B79" t="s">
        <v>19</v>
      </c>
      <c r="C79">
        <v>0.48</v>
      </c>
      <c r="D79">
        <v>1.34</v>
      </c>
      <c r="E79">
        <v>0</v>
      </c>
      <c r="F79" t="s">
        <v>26</v>
      </c>
      <c r="G79" t="s">
        <v>21</v>
      </c>
      <c r="H79" t="s">
        <v>7</v>
      </c>
      <c r="I79">
        <v>27</v>
      </c>
      <c r="J79">
        <v>105.6343186</v>
      </c>
      <c r="K79">
        <v>9.7079197389999994</v>
      </c>
    </row>
    <row r="80" spans="1:12" x14ac:dyDescent="0.3">
      <c r="A80">
        <v>3</v>
      </c>
      <c r="B80" t="s">
        <v>12</v>
      </c>
      <c r="C80">
        <v>0.39</v>
      </c>
      <c r="D80">
        <v>1.04</v>
      </c>
      <c r="E80">
        <v>1.21</v>
      </c>
      <c r="F80" t="s">
        <v>26</v>
      </c>
      <c r="G80" t="s">
        <v>22</v>
      </c>
      <c r="H80" t="s">
        <v>7</v>
      </c>
      <c r="I80">
        <v>0</v>
      </c>
      <c r="J80">
        <v>62.079726880000003</v>
      </c>
      <c r="K80">
        <v>6.4291558210000002</v>
      </c>
    </row>
    <row r="81" spans="1:12" x14ac:dyDescent="0.3">
      <c r="A81">
        <v>3</v>
      </c>
      <c r="B81" t="s">
        <v>18</v>
      </c>
      <c r="C81">
        <v>0.21</v>
      </c>
      <c r="D81">
        <v>0.91</v>
      </c>
      <c r="E81">
        <v>0.11</v>
      </c>
      <c r="F81" t="s">
        <v>26</v>
      </c>
      <c r="G81" t="s">
        <v>23</v>
      </c>
      <c r="H81" t="s">
        <v>7</v>
      </c>
      <c r="I81">
        <v>33</v>
      </c>
      <c r="J81">
        <v>40.210828990000003</v>
      </c>
      <c r="K81">
        <v>9.1213031620000002</v>
      </c>
    </row>
    <row r="82" spans="1:12" x14ac:dyDescent="0.3">
      <c r="A82">
        <v>3</v>
      </c>
      <c r="B82" t="s">
        <v>16</v>
      </c>
      <c r="C82">
        <v>0.73</v>
      </c>
      <c r="D82">
        <v>1.4</v>
      </c>
      <c r="E82">
        <v>0</v>
      </c>
      <c r="F82" t="s">
        <v>26</v>
      </c>
      <c r="G82" t="s">
        <v>24</v>
      </c>
      <c r="H82" t="s">
        <v>7</v>
      </c>
      <c r="I82">
        <v>34</v>
      </c>
      <c r="J82">
        <v>23.23603211</v>
      </c>
      <c r="K82">
        <v>8.0524433599999998</v>
      </c>
    </row>
    <row r="83" spans="1:12" x14ac:dyDescent="0.3">
      <c r="A83">
        <v>3</v>
      </c>
      <c r="B83" t="s">
        <v>19</v>
      </c>
      <c r="C83">
        <v>0.34</v>
      </c>
      <c r="D83">
        <v>0.87</v>
      </c>
      <c r="E83">
        <v>0</v>
      </c>
      <c r="F83" t="s">
        <v>26</v>
      </c>
      <c r="G83" t="s">
        <v>25</v>
      </c>
      <c r="H83" t="s">
        <v>7</v>
      </c>
      <c r="I83">
        <v>5</v>
      </c>
      <c r="J83">
        <v>39.781747359999997</v>
      </c>
      <c r="K83">
        <v>19.380212230000001</v>
      </c>
    </row>
    <row r="84" spans="1:12" x14ac:dyDescent="0.3">
      <c r="A84">
        <v>4</v>
      </c>
      <c r="B84" t="s">
        <v>17</v>
      </c>
      <c r="C84">
        <v>0.79</v>
      </c>
      <c r="D84">
        <v>1.37</v>
      </c>
      <c r="E84">
        <v>0.28999999999999998</v>
      </c>
      <c r="F84" t="s">
        <v>20</v>
      </c>
      <c r="G84" t="s">
        <v>21</v>
      </c>
      <c r="H84" t="s">
        <v>6</v>
      </c>
      <c r="I84">
        <v>10</v>
      </c>
      <c r="J84" s="39">
        <v>6.8136970253720861</v>
      </c>
      <c r="K84">
        <v>1891.9325714069682</v>
      </c>
      <c r="L84" s="40" t="s">
        <v>163</v>
      </c>
    </row>
    <row r="85" spans="1:12" x14ac:dyDescent="0.3">
      <c r="A85">
        <v>4</v>
      </c>
      <c r="B85" t="s">
        <v>10</v>
      </c>
      <c r="C85">
        <v>0.59</v>
      </c>
      <c r="D85">
        <v>1.32</v>
      </c>
      <c r="E85">
        <v>2.19</v>
      </c>
      <c r="F85" t="s">
        <v>20</v>
      </c>
      <c r="G85" t="s">
        <v>22</v>
      </c>
      <c r="H85" t="s">
        <v>6</v>
      </c>
      <c r="I85">
        <v>6</v>
      </c>
      <c r="J85" s="39">
        <v>69.494831273706794</v>
      </c>
      <c r="K85">
        <v>6.6045293950339827</v>
      </c>
    </row>
    <row r="86" spans="1:12" x14ac:dyDescent="0.3">
      <c r="A86">
        <v>4</v>
      </c>
      <c r="B86" t="s">
        <v>10</v>
      </c>
      <c r="C86">
        <v>0.9</v>
      </c>
      <c r="D86">
        <v>1.43</v>
      </c>
      <c r="E86">
        <v>3</v>
      </c>
      <c r="F86" t="s">
        <v>20</v>
      </c>
      <c r="G86" t="s">
        <v>23</v>
      </c>
      <c r="H86" t="s">
        <v>6</v>
      </c>
      <c r="I86">
        <v>37</v>
      </c>
      <c r="J86" s="39">
        <v>138.72908211976716</v>
      </c>
      <c r="K86">
        <v>3.6533505142515299</v>
      </c>
    </row>
    <row r="87" spans="1:12" x14ac:dyDescent="0.3">
      <c r="A87">
        <v>4</v>
      </c>
      <c r="B87" t="s">
        <v>19</v>
      </c>
      <c r="C87">
        <v>0.17</v>
      </c>
      <c r="D87">
        <v>1.5</v>
      </c>
      <c r="E87">
        <v>0</v>
      </c>
      <c r="F87" t="s">
        <v>20</v>
      </c>
      <c r="G87" t="s">
        <v>24</v>
      </c>
      <c r="H87" t="s">
        <v>6</v>
      </c>
      <c r="I87">
        <v>0</v>
      </c>
      <c r="J87" s="39">
        <v>67.673237270053903</v>
      </c>
      <c r="K87">
        <v>8.271719972326034</v>
      </c>
    </row>
    <row r="88" spans="1:12" x14ac:dyDescent="0.3">
      <c r="A88">
        <v>4</v>
      </c>
      <c r="B88" t="s">
        <v>17</v>
      </c>
      <c r="C88">
        <v>0.9</v>
      </c>
      <c r="D88">
        <v>1.5</v>
      </c>
      <c r="E88">
        <v>0</v>
      </c>
      <c r="F88" t="s">
        <v>20</v>
      </c>
      <c r="G88" t="s">
        <v>25</v>
      </c>
      <c r="H88" t="s">
        <v>6</v>
      </c>
      <c r="I88">
        <v>7</v>
      </c>
      <c r="J88" s="39">
        <v>7.8113825798050929</v>
      </c>
      <c r="K88">
        <v>1827.3791141905861</v>
      </c>
      <c r="L88" s="40" t="s">
        <v>163</v>
      </c>
    </row>
    <row r="89" spans="1:12" x14ac:dyDescent="0.3">
      <c r="A89">
        <v>4</v>
      </c>
      <c r="B89" t="s">
        <v>17</v>
      </c>
      <c r="C89">
        <v>0.76</v>
      </c>
      <c r="D89">
        <v>1.49</v>
      </c>
      <c r="E89">
        <v>0.1</v>
      </c>
      <c r="F89" t="s">
        <v>26</v>
      </c>
      <c r="G89" t="s">
        <v>21</v>
      </c>
      <c r="H89" t="s">
        <v>6</v>
      </c>
      <c r="I89">
        <v>0</v>
      </c>
      <c r="J89" s="39">
        <v>7.5927387350888775</v>
      </c>
      <c r="K89">
        <v>1691.1185099683903</v>
      </c>
      <c r="L89" s="40" t="s">
        <v>163</v>
      </c>
    </row>
    <row r="90" spans="1:12" x14ac:dyDescent="0.3">
      <c r="A90">
        <v>4</v>
      </c>
      <c r="B90" t="s">
        <v>12</v>
      </c>
      <c r="C90">
        <v>0.56999999999999995</v>
      </c>
      <c r="D90">
        <v>1.0900000000000001</v>
      </c>
      <c r="E90">
        <v>0.99</v>
      </c>
      <c r="F90" t="s">
        <v>26</v>
      </c>
      <c r="G90" t="s">
        <v>22</v>
      </c>
      <c r="H90" t="s">
        <v>6</v>
      </c>
      <c r="I90">
        <v>0</v>
      </c>
      <c r="J90" s="39">
        <v>1.0882491621078303</v>
      </c>
      <c r="K90">
        <v>337.84492108689608</v>
      </c>
      <c r="L90" s="40" t="s">
        <v>163</v>
      </c>
    </row>
    <row r="91" spans="1:12" x14ac:dyDescent="0.3">
      <c r="A91">
        <v>4</v>
      </c>
      <c r="B91" t="s">
        <v>10</v>
      </c>
      <c r="C91">
        <v>0.9</v>
      </c>
      <c r="D91">
        <v>1.41</v>
      </c>
      <c r="E91">
        <v>3</v>
      </c>
      <c r="F91" t="s">
        <v>26</v>
      </c>
      <c r="G91" t="s">
        <v>23</v>
      </c>
      <c r="H91" t="s">
        <v>6</v>
      </c>
      <c r="I91">
        <v>23</v>
      </c>
      <c r="J91" s="39">
        <v>135.43464979488587</v>
      </c>
      <c r="K91">
        <v>3.7671207936140734</v>
      </c>
    </row>
    <row r="92" spans="1:12" x14ac:dyDescent="0.3">
      <c r="A92">
        <v>4</v>
      </c>
      <c r="B92" t="s">
        <v>17</v>
      </c>
      <c r="C92">
        <v>0.44</v>
      </c>
      <c r="D92">
        <v>1.33</v>
      </c>
      <c r="E92">
        <v>0</v>
      </c>
      <c r="F92" t="s">
        <v>26</v>
      </c>
      <c r="G92" t="s">
        <v>24</v>
      </c>
      <c r="H92" t="s">
        <v>6</v>
      </c>
      <c r="I92">
        <v>9</v>
      </c>
      <c r="J92" s="39">
        <v>248.0676261656692</v>
      </c>
      <c r="K92">
        <v>34.187502963081357</v>
      </c>
    </row>
    <row r="93" spans="1:12" x14ac:dyDescent="0.3">
      <c r="A93">
        <v>4</v>
      </c>
      <c r="B93" t="s">
        <v>17</v>
      </c>
      <c r="C93">
        <v>0.1</v>
      </c>
      <c r="D93">
        <v>1.23</v>
      </c>
      <c r="E93">
        <v>0</v>
      </c>
      <c r="F93" t="s">
        <v>26</v>
      </c>
      <c r="G93" t="s">
        <v>25</v>
      </c>
      <c r="H93" t="s">
        <v>6</v>
      </c>
      <c r="I93">
        <v>0</v>
      </c>
      <c r="J93" s="39">
        <v>74.565155796641207</v>
      </c>
      <c r="K93">
        <v>32.147489170029537</v>
      </c>
    </row>
    <row r="94" spans="1:12" x14ac:dyDescent="0.3">
      <c r="A94">
        <v>4</v>
      </c>
      <c r="B94" t="s">
        <v>10</v>
      </c>
      <c r="C94">
        <v>0.51</v>
      </c>
      <c r="D94">
        <v>1.25</v>
      </c>
      <c r="E94">
        <v>2.06</v>
      </c>
      <c r="F94" t="s">
        <v>20</v>
      </c>
      <c r="G94" t="s">
        <v>21</v>
      </c>
      <c r="H94" t="s">
        <v>7</v>
      </c>
      <c r="I94">
        <v>17</v>
      </c>
      <c r="J94" s="39">
        <v>55.254083001870463</v>
      </c>
      <c r="K94">
        <v>8.3096866689026321</v>
      </c>
    </row>
    <row r="95" spans="1:12" x14ac:dyDescent="0.3">
      <c r="A95">
        <v>4</v>
      </c>
      <c r="B95" t="s">
        <v>19</v>
      </c>
      <c r="C95">
        <v>0.64</v>
      </c>
      <c r="D95">
        <v>1.18</v>
      </c>
      <c r="E95">
        <v>0.17</v>
      </c>
      <c r="F95" t="s">
        <v>20</v>
      </c>
      <c r="G95" t="s">
        <v>22</v>
      </c>
      <c r="H95" t="s">
        <v>7</v>
      </c>
      <c r="I95">
        <v>21</v>
      </c>
      <c r="J95" s="39">
        <v>138.28555630703084</v>
      </c>
      <c r="K95">
        <v>8.5708605764542565</v>
      </c>
    </row>
    <row r="96" spans="1:12" x14ac:dyDescent="0.3">
      <c r="A96">
        <v>4</v>
      </c>
      <c r="B96" t="s">
        <v>10</v>
      </c>
      <c r="C96">
        <v>0.57999999999999996</v>
      </c>
      <c r="D96">
        <v>1.41</v>
      </c>
      <c r="E96">
        <v>1.91</v>
      </c>
      <c r="F96" t="s">
        <v>20</v>
      </c>
      <c r="G96" t="s">
        <v>23</v>
      </c>
      <c r="H96" t="s">
        <v>7</v>
      </c>
      <c r="I96">
        <v>37</v>
      </c>
      <c r="J96" s="39">
        <v>76.17291091022571</v>
      </c>
      <c r="K96">
        <v>5.4530326173844132</v>
      </c>
    </row>
    <row r="97" spans="1:11" x14ac:dyDescent="0.3">
      <c r="A97">
        <v>4</v>
      </c>
      <c r="B97" t="s">
        <v>16</v>
      </c>
      <c r="C97">
        <v>0.84</v>
      </c>
      <c r="D97">
        <v>1.1499999999999999</v>
      </c>
      <c r="E97">
        <v>0</v>
      </c>
      <c r="F97" t="s">
        <v>20</v>
      </c>
      <c r="G97" t="s">
        <v>24</v>
      </c>
      <c r="H97" t="s">
        <v>7</v>
      </c>
      <c r="I97">
        <v>27</v>
      </c>
      <c r="J97" s="39">
        <v>28.343332840818118</v>
      </c>
      <c r="K97">
        <v>7.2375185741754873</v>
      </c>
    </row>
    <row r="98" spans="1:11" x14ac:dyDescent="0.3">
      <c r="A98">
        <v>4</v>
      </c>
      <c r="B98" t="s">
        <v>19</v>
      </c>
      <c r="C98">
        <v>0.1</v>
      </c>
      <c r="D98">
        <v>1.23</v>
      </c>
      <c r="E98">
        <v>1.04</v>
      </c>
      <c r="F98" t="s">
        <v>20</v>
      </c>
      <c r="G98" t="s">
        <v>25</v>
      </c>
      <c r="H98" t="s">
        <v>7</v>
      </c>
      <c r="I98">
        <v>14</v>
      </c>
      <c r="J98" s="39">
        <v>18.388720530946856</v>
      </c>
      <c r="K98">
        <v>30.117885635686267</v>
      </c>
    </row>
    <row r="99" spans="1:11" x14ac:dyDescent="0.3">
      <c r="A99">
        <v>4</v>
      </c>
      <c r="B99" t="s">
        <v>12</v>
      </c>
      <c r="C99">
        <v>0.15</v>
      </c>
      <c r="D99">
        <v>1.25</v>
      </c>
      <c r="E99">
        <v>0</v>
      </c>
      <c r="F99" t="s">
        <v>26</v>
      </c>
      <c r="G99" t="s">
        <v>21</v>
      </c>
      <c r="H99" t="s">
        <v>7</v>
      </c>
      <c r="I99">
        <v>15</v>
      </c>
      <c r="J99" s="39">
        <v>46.62379259924451</v>
      </c>
      <c r="K99">
        <v>4.0383947125532904</v>
      </c>
    </row>
    <row r="100" spans="1:11" x14ac:dyDescent="0.3">
      <c r="A100">
        <v>4</v>
      </c>
      <c r="B100" t="s">
        <v>9</v>
      </c>
      <c r="C100">
        <v>0.33</v>
      </c>
      <c r="D100">
        <v>0.88</v>
      </c>
      <c r="E100">
        <v>0.01</v>
      </c>
      <c r="F100" t="s">
        <v>26</v>
      </c>
      <c r="G100" t="s">
        <v>22</v>
      </c>
      <c r="H100" t="s">
        <v>7</v>
      </c>
      <c r="I100">
        <v>34</v>
      </c>
      <c r="J100" s="39">
        <v>23.165119648451451</v>
      </c>
      <c r="K100">
        <v>10.785614226135344</v>
      </c>
    </row>
    <row r="101" spans="1:11" x14ac:dyDescent="0.3">
      <c r="A101">
        <v>4</v>
      </c>
      <c r="B101" t="s">
        <v>12</v>
      </c>
      <c r="C101">
        <v>0.55000000000000004</v>
      </c>
      <c r="D101">
        <v>1.07</v>
      </c>
      <c r="E101">
        <v>1.07</v>
      </c>
      <c r="F101" t="s">
        <v>26</v>
      </c>
      <c r="G101" t="s">
        <v>23</v>
      </c>
      <c r="H101" t="s">
        <v>7</v>
      </c>
      <c r="I101">
        <v>8</v>
      </c>
      <c r="J101" s="39">
        <v>57.11907890174075</v>
      </c>
      <c r="K101">
        <v>6.6454151131137484</v>
      </c>
    </row>
    <row r="102" spans="1:11" x14ac:dyDescent="0.3">
      <c r="A102">
        <v>4</v>
      </c>
      <c r="B102" t="s">
        <v>19</v>
      </c>
      <c r="C102">
        <v>0.16</v>
      </c>
      <c r="D102">
        <v>1.24</v>
      </c>
      <c r="E102">
        <v>1.04</v>
      </c>
      <c r="F102" t="s">
        <v>26</v>
      </c>
      <c r="G102" t="s">
        <v>24</v>
      </c>
      <c r="H102" t="s">
        <v>7</v>
      </c>
      <c r="I102">
        <v>4</v>
      </c>
      <c r="J102" s="39">
        <v>41.951700304375613</v>
      </c>
      <c r="K102">
        <v>15.922248353352639</v>
      </c>
    </row>
    <row r="103" spans="1:11" x14ac:dyDescent="0.3">
      <c r="A103">
        <v>4</v>
      </c>
      <c r="B103" t="s">
        <v>19</v>
      </c>
      <c r="C103">
        <v>0.65</v>
      </c>
      <c r="D103">
        <v>1.4</v>
      </c>
      <c r="E103">
        <v>0</v>
      </c>
      <c r="F103" t="s">
        <v>26</v>
      </c>
      <c r="G103" t="s">
        <v>25</v>
      </c>
      <c r="H103" t="s">
        <v>7</v>
      </c>
      <c r="I103">
        <v>12</v>
      </c>
      <c r="J103" s="39">
        <v>154.45612751050615</v>
      </c>
      <c r="K103">
        <v>7.8680148959164997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2E33-9E1D-4861-9C60-CDCE2FEE16F0}">
  <dimension ref="B2:CD29"/>
  <sheetViews>
    <sheetView topLeftCell="BJ9" zoomScale="110" zoomScaleNormal="110" workbookViewId="0">
      <selection activeCell="B4" sqref="B4"/>
    </sheetView>
  </sheetViews>
  <sheetFormatPr defaultRowHeight="14.4" x14ac:dyDescent="0.3"/>
  <cols>
    <col min="2" max="2" width="15.6640625" bestFit="1" customWidth="1"/>
  </cols>
  <sheetData>
    <row r="2" spans="2:82" x14ac:dyDescent="0.3">
      <c r="B2" t="s">
        <v>143</v>
      </c>
      <c r="C2" t="s">
        <v>41</v>
      </c>
      <c r="D2" t="s">
        <v>145</v>
      </c>
      <c r="E2" t="s">
        <v>43</v>
      </c>
      <c r="F2" t="s">
        <v>44</v>
      </c>
      <c r="G2" t="s">
        <v>42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61</v>
      </c>
      <c r="V2" t="s">
        <v>64</v>
      </c>
      <c r="W2" t="s">
        <v>63</v>
      </c>
      <c r="X2" t="s">
        <v>62</v>
      </c>
    </row>
    <row r="3" spans="2:82" x14ac:dyDescent="0.3">
      <c r="B3" t="s">
        <v>144</v>
      </c>
      <c r="C3" t="s">
        <v>150</v>
      </c>
      <c r="D3" t="s">
        <v>150</v>
      </c>
      <c r="E3" t="s">
        <v>150</v>
      </c>
      <c r="F3" t="s">
        <v>150</v>
      </c>
      <c r="G3" t="s">
        <v>150</v>
      </c>
      <c r="H3" t="s">
        <v>150</v>
      </c>
      <c r="I3" t="s">
        <v>150</v>
      </c>
      <c r="J3" t="s">
        <v>150</v>
      </c>
      <c r="K3" t="s">
        <v>150</v>
      </c>
      <c r="L3" t="s">
        <v>150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  <c r="U3" t="s">
        <v>150</v>
      </c>
      <c r="V3" t="s">
        <v>150</v>
      </c>
      <c r="W3" t="s">
        <v>150</v>
      </c>
      <c r="X3" t="s">
        <v>150</v>
      </c>
    </row>
    <row r="4" spans="2:82" x14ac:dyDescent="0.3">
      <c r="B4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</row>
    <row r="5" spans="2:82" x14ac:dyDescent="0.3">
      <c r="B5">
        <v>10</v>
      </c>
      <c r="C5" s="26">
        <v>2.2025802237282992E-2</v>
      </c>
      <c r="D5" s="26">
        <v>4.6421774158927731E-2</v>
      </c>
      <c r="E5" s="26">
        <v>4.921851155767646E-2</v>
      </c>
      <c r="F5" s="26">
        <v>3.7255933409660789E-2</v>
      </c>
      <c r="G5" s="26">
        <v>4.7356314927014219E-3</v>
      </c>
      <c r="H5" s="26">
        <v>1.0122423021887985E-2</v>
      </c>
      <c r="I5" s="26">
        <v>1.5382073068290366E-2</v>
      </c>
      <c r="J5" s="26">
        <v>1.9237891444796557E-2</v>
      </c>
      <c r="K5" s="26">
        <v>6.0460021905805524E-2</v>
      </c>
      <c r="L5" s="26">
        <v>3.0415196120628044E-2</v>
      </c>
      <c r="M5" s="26">
        <v>1.762661370407146E-2</v>
      </c>
      <c r="N5" s="26">
        <v>2.2025802237282992E-2</v>
      </c>
      <c r="O5" s="26">
        <v>3.1235907051814907E-2</v>
      </c>
      <c r="P5" s="26">
        <v>2.7402005469462299E-2</v>
      </c>
      <c r="Q5" s="26">
        <v>1.641154178975357E-2</v>
      </c>
      <c r="R5" s="26">
        <v>1.7386791228756443E-3</v>
      </c>
      <c r="S5" s="26">
        <v>5.7417582417586413E-3</v>
      </c>
      <c r="T5" s="26">
        <v>8.4663322693419221E-3</v>
      </c>
      <c r="U5" s="26">
        <v>8.3092602810867031E-3</v>
      </c>
      <c r="V5" s="26">
        <v>2.526990712366245E-2</v>
      </c>
      <c r="W5" s="26">
        <v>1.8795065441000579E-2</v>
      </c>
      <c r="X5" s="26">
        <v>1.2689377093896222E-2</v>
      </c>
    </row>
    <row r="6" spans="2:82" x14ac:dyDescent="0.3">
      <c r="B6">
        <v>20</v>
      </c>
      <c r="C6" s="26">
        <v>3.2130317628807421E-2</v>
      </c>
      <c r="D6" s="26">
        <v>6.9146119832286884E-2</v>
      </c>
      <c r="E6" s="26">
        <v>9.699130965575975E-2</v>
      </c>
      <c r="F6" s="26">
        <v>6.5001908180421258E-2</v>
      </c>
      <c r="G6" s="26">
        <v>7.561976637551775E-3</v>
      </c>
      <c r="H6" s="26">
        <v>1.7383009168477851E-2</v>
      </c>
      <c r="I6" s="26">
        <v>2.7651927234670099E-2</v>
      </c>
      <c r="J6" s="26">
        <v>2.981358791819292E-2</v>
      </c>
      <c r="K6" s="26">
        <v>0.12235387832321078</v>
      </c>
      <c r="L6" s="26">
        <v>5.160540587070693E-2</v>
      </c>
      <c r="M6" s="26">
        <v>6.9347898047004503E-2</v>
      </c>
      <c r="N6" s="26">
        <v>3.2130317628807421E-2</v>
      </c>
      <c r="O6" s="26">
        <v>7.7377702879115731E-2</v>
      </c>
      <c r="P6" s="26">
        <v>4.9735642661805288E-2</v>
      </c>
      <c r="Q6" s="26">
        <v>4.2714767403694419E-2</v>
      </c>
      <c r="R6" s="26">
        <v>5.08628519527741E-3</v>
      </c>
      <c r="S6" s="26">
        <v>1.2637362637363012E-2</v>
      </c>
      <c r="T6" s="26">
        <v>1.5002279981760154E-2</v>
      </c>
      <c r="U6" s="26">
        <v>1.7202765425687154E-2</v>
      </c>
      <c r="V6" s="26">
        <v>3.9884965348168572E-2</v>
      </c>
      <c r="W6" s="26">
        <v>3.5642278645388784E-2</v>
      </c>
      <c r="X6" s="26">
        <v>3.3798808147292421E-2</v>
      </c>
    </row>
    <row r="7" spans="2:82" x14ac:dyDescent="0.3">
      <c r="B7">
        <v>30</v>
      </c>
      <c r="C7" s="26">
        <v>4.1050869600718923E-2</v>
      </c>
      <c r="D7" s="26">
        <v>9.8395844363990681E-2</v>
      </c>
      <c r="E7" s="26">
        <v>0.1180184087513859</v>
      </c>
      <c r="F7" s="26">
        <v>9.3232663923012771E-2</v>
      </c>
      <c r="G7" s="26">
        <v>9.8471067546646671E-3</v>
      </c>
      <c r="H7" s="26">
        <v>2.3654318370519723E-2</v>
      </c>
      <c r="I7" s="26">
        <v>3.4303262321495553E-2</v>
      </c>
      <c r="J7" s="26">
        <v>3.9093041438624278E-2</v>
      </c>
      <c r="K7" s="26">
        <v>0.18247535596933234</v>
      </c>
      <c r="L7" s="26">
        <v>7.4574617658029932E-2</v>
      </c>
      <c r="M7" s="26">
        <v>9.5642999006951598E-2</v>
      </c>
      <c r="N7" s="26">
        <v>4.1050869600718923E-2</v>
      </c>
      <c r="O7" s="26">
        <v>0.13023664285205735</v>
      </c>
      <c r="P7" s="26">
        <v>6.7183226982680075E-2</v>
      </c>
      <c r="Q7" s="26">
        <v>8.6190433563095234E-2</v>
      </c>
      <c r="R7" s="26">
        <v>8.5895938756977187E-3</v>
      </c>
      <c r="S7" s="26">
        <v>2.0576923076923728E-2</v>
      </c>
      <c r="T7" s="26">
        <v>1.9957440340477271E-2</v>
      </c>
      <c r="U7" s="26">
        <v>2.7070012009478225E-2</v>
      </c>
      <c r="V7" s="26">
        <v>5.3368535194003613E-2</v>
      </c>
      <c r="W7" s="26">
        <v>5.3275467313672283E-2</v>
      </c>
      <c r="X7" s="26">
        <v>5.0994692994159464E-2</v>
      </c>
    </row>
    <row r="8" spans="2:82" x14ac:dyDescent="0.3">
      <c r="B8">
        <v>40</v>
      </c>
      <c r="C8" s="26">
        <v>4.9828529435780589E-2</v>
      </c>
      <c r="D8" s="26">
        <v>0.12554199281635961</v>
      </c>
      <c r="E8" s="26">
        <v>0.13331084445729544</v>
      </c>
      <c r="F8" s="26">
        <v>0.12639374529401448</v>
      </c>
      <c r="G8" s="26">
        <v>1.2057068117924886E-2</v>
      </c>
      <c r="H8" s="26">
        <v>2.9907961912837747E-2</v>
      </c>
      <c r="I8" s="26">
        <v>4.4314692151975831E-2</v>
      </c>
      <c r="J8" s="26">
        <v>4.8475371383893795E-2</v>
      </c>
      <c r="K8" s="26">
        <v>0.25956387533605546</v>
      </c>
      <c r="L8" s="26">
        <v>9.4803592436372042E-2</v>
      </c>
      <c r="M8" s="26">
        <v>0.12305527970870599</v>
      </c>
      <c r="N8" s="26">
        <v>4.9828529435780589E-2</v>
      </c>
      <c r="O8" s="26">
        <v>0.20084973060216998</v>
      </c>
      <c r="P8" s="26">
        <v>8.0255241567912861E-2</v>
      </c>
      <c r="Q8" s="26">
        <v>0.1265777459493333</v>
      </c>
      <c r="R8" s="26">
        <v>1.1599844297392345E-2</v>
      </c>
      <c r="S8" s="26">
        <v>2.7060439560439936E-2</v>
      </c>
      <c r="T8" s="26">
        <v>2.375740994072047E-2</v>
      </c>
      <c r="U8" s="26">
        <v>3.5541562530429754E-2</v>
      </c>
      <c r="V8" s="26">
        <v>6.6404224223280406E-2</v>
      </c>
      <c r="W8" s="26">
        <v>6.6910432969962408E-2</v>
      </c>
      <c r="X8" s="26">
        <v>6.7805152835838947E-2</v>
      </c>
    </row>
    <row r="9" spans="2:82" x14ac:dyDescent="0.3">
      <c r="B9">
        <v>50</v>
      </c>
      <c r="C9" s="26">
        <v>5.9606434228791055E-2</v>
      </c>
      <c r="D9" s="26">
        <v>0.16588199939897855</v>
      </c>
      <c r="E9" s="26">
        <v>0.15629768846481326</v>
      </c>
      <c r="F9" s="26">
        <v>0.17121019896648823</v>
      </c>
      <c r="G9" s="26">
        <v>1.5244223281266765E-2</v>
      </c>
      <c r="H9" s="26">
        <v>4.0666348684792006E-2</v>
      </c>
      <c r="I9" s="26">
        <v>5.4298580222262409E-2</v>
      </c>
      <c r="J9" s="26">
        <v>5.9133368997160637E-2</v>
      </c>
      <c r="K9" s="26">
        <v>0.32912476351687764</v>
      </c>
      <c r="L9" s="26">
        <v>0.11595076181458232</v>
      </c>
      <c r="M9" s="26">
        <v>0.15508109897384981</v>
      </c>
      <c r="N9" s="26">
        <v>5.9606434228791055E-2</v>
      </c>
      <c r="O9" s="26">
        <v>0.31378320001898891</v>
      </c>
      <c r="P9" s="26">
        <v>0.10030993618960819</v>
      </c>
      <c r="Q9" s="26">
        <v>0.19966878524751611</v>
      </c>
      <c r="R9" s="26">
        <v>1.7931750356818838E-2</v>
      </c>
      <c r="S9" s="26">
        <v>4.7170329670330025E-2</v>
      </c>
      <c r="T9" s="26">
        <v>2.8438972488219978E-2</v>
      </c>
      <c r="U9" s="26">
        <v>5.0472264598007299E-2</v>
      </c>
      <c r="V9" s="26">
        <v>9.0165480175380952E-2</v>
      </c>
      <c r="W9" s="26">
        <v>8.2322386631583047E-2</v>
      </c>
      <c r="X9" s="26">
        <v>8.9566841590323659E-2</v>
      </c>
    </row>
    <row r="10" spans="2:82" x14ac:dyDescent="0.3">
      <c r="B10">
        <v>60</v>
      </c>
      <c r="C10" s="26">
        <v>7.3589450477668378E-2</v>
      </c>
      <c r="D10" s="26">
        <v>0.32855854953420854</v>
      </c>
      <c r="E10" s="26">
        <v>0.22511364914140722</v>
      </c>
      <c r="F10" s="26">
        <v>0.26637167228806308</v>
      </c>
      <c r="G10" s="26">
        <v>1.9438639746230384E-2</v>
      </c>
      <c r="H10" s="26">
        <v>5.0841768685851926E-2</v>
      </c>
      <c r="I10" s="26">
        <v>6.8744233443959982E-2</v>
      </c>
      <c r="J10" s="26">
        <v>7.2877659355582228E-2</v>
      </c>
      <c r="K10" s="26">
        <v>0.41646918251518494</v>
      </c>
      <c r="L10" s="26">
        <v>0.1417032509827553</v>
      </c>
      <c r="M10" s="26">
        <v>0.1982373386295932</v>
      </c>
      <c r="N10" s="26">
        <v>7.3589450477668378E-2</v>
      </c>
      <c r="O10" s="26">
        <v>0.52773492202891059</v>
      </c>
      <c r="P10" s="26">
        <v>0.12971741112123991</v>
      </c>
      <c r="Q10" s="26">
        <v>0.3234267299257006</v>
      </c>
      <c r="R10" s="26">
        <v>2.3822499026859012E-2</v>
      </c>
      <c r="S10" s="26">
        <v>5.7692307692308001E-2</v>
      </c>
      <c r="T10" s="26">
        <v>3.7695698434412284E-2</v>
      </c>
      <c r="U10" s="26">
        <v>6.7999610503424845E-2</v>
      </c>
      <c r="V10" s="26">
        <v>0.11833482626938917</v>
      </c>
      <c r="W10" s="26">
        <v>0.10022895806991779</v>
      </c>
      <c r="X10" s="26">
        <v>0.11865160544338745</v>
      </c>
    </row>
    <row r="11" spans="2:82" x14ac:dyDescent="0.3">
      <c r="B11">
        <v>70</v>
      </c>
      <c r="C11" s="26">
        <v>9.5370294766065455E-2</v>
      </c>
      <c r="D11" s="26">
        <v>0.42572373034158117</v>
      </c>
      <c r="E11" s="26">
        <v>0.26649318105151598</v>
      </c>
      <c r="F11" s="26">
        <v>0.35832533960454255</v>
      </c>
      <c r="G11" s="26">
        <v>3.2427800411925188E-2</v>
      </c>
      <c r="H11" s="26">
        <v>0.11403183351882287</v>
      </c>
      <c r="I11" s="26">
        <v>9.8585730614043909E-2</v>
      </c>
      <c r="J11" s="26">
        <v>9.3802724167729806E-2</v>
      </c>
      <c r="K11" s="26">
        <v>0.53912177636164527</v>
      </c>
      <c r="L11" s="26">
        <v>0.18325155662678294</v>
      </c>
      <c r="M11" s="26">
        <v>0.26770936775902038</v>
      </c>
      <c r="N11" s="26">
        <v>9.5370294766065455E-2</v>
      </c>
      <c r="O11" s="26">
        <v>0.67475255749922891</v>
      </c>
      <c r="P11" s="26">
        <v>0.16207839562443063</v>
      </c>
      <c r="Q11" s="26">
        <v>0.42951988780473266</v>
      </c>
      <c r="R11" s="26">
        <v>3.4306474633450622E-2</v>
      </c>
      <c r="S11" s="26">
        <v>9.1071428571429122E-2</v>
      </c>
      <c r="T11" s="26">
        <v>6.099711202310381E-2</v>
      </c>
      <c r="U11" s="26">
        <v>0.10357363108182664</v>
      </c>
      <c r="V11" s="26">
        <v>0.15607467823299254</v>
      </c>
      <c r="W11" s="26">
        <v>0.13334244609233498</v>
      </c>
      <c r="X11" s="26">
        <v>0.16771917341160475</v>
      </c>
    </row>
    <row r="12" spans="2:82" x14ac:dyDescent="0.3">
      <c r="B12">
        <v>80</v>
      </c>
      <c r="C12" s="26">
        <v>0.13333877684330891</v>
      </c>
      <c r="D12" s="26">
        <v>0.56133999227257803</v>
      </c>
      <c r="E12" s="26">
        <v>0.33026520810242121</v>
      </c>
      <c r="F12" s="26">
        <v>0.48149064991593704</v>
      </c>
      <c r="G12" s="26">
        <v>7.2567914969105959E-2</v>
      </c>
      <c r="H12" s="26">
        <v>0.20213047856272204</v>
      </c>
      <c r="I12" s="26">
        <v>0.23774047399369341</v>
      </c>
      <c r="J12" s="26">
        <v>0.13092053824945499</v>
      </c>
      <c r="K12" s="26">
        <v>0.74418002588867904</v>
      </c>
      <c r="L12" s="26">
        <v>0.2661616596367396</v>
      </c>
      <c r="M12" s="26">
        <v>0.39202664680569349</v>
      </c>
      <c r="N12" s="26">
        <v>0.13333877684330891</v>
      </c>
      <c r="O12" s="26">
        <v>0.91395884265742622</v>
      </c>
      <c r="P12" s="26">
        <v>0.207584320875114</v>
      </c>
      <c r="Q12" s="26">
        <v>0.59106913734968569</v>
      </c>
      <c r="R12" s="26">
        <v>6.6407162319969237E-2</v>
      </c>
      <c r="S12" s="26">
        <v>0.14700549450549497</v>
      </c>
      <c r="T12" s="26">
        <v>0.1898160814713484</v>
      </c>
      <c r="U12" s="26">
        <v>0.17326106007984718</v>
      </c>
      <c r="V12" s="26">
        <v>0.22196030361604899</v>
      </c>
      <c r="W12" s="26">
        <v>0.20011618767727204</v>
      </c>
      <c r="X12" s="26">
        <v>0.26345281508494212</v>
      </c>
    </row>
    <row r="13" spans="2:82" x14ac:dyDescent="0.3">
      <c r="B13">
        <v>90</v>
      </c>
      <c r="C13" s="26">
        <v>0.18545358046868674</v>
      </c>
      <c r="D13" s="26">
        <v>0.78899844020549315</v>
      </c>
      <c r="E13" s="26">
        <v>0.46666024127351352</v>
      </c>
      <c r="F13" s="26">
        <v>0.67504203154170694</v>
      </c>
      <c r="G13" s="26">
        <v>8.9931897109009978E-2</v>
      </c>
      <c r="H13" s="26">
        <v>0.23145547370466563</v>
      </c>
      <c r="I13" s="26">
        <v>0.5874519740556623</v>
      </c>
      <c r="J13" s="26">
        <v>0.18894284185836005</v>
      </c>
      <c r="K13" s="26">
        <v>1.0937767599322901</v>
      </c>
      <c r="L13" s="26">
        <v>0.40591374709477523</v>
      </c>
      <c r="M13" s="26">
        <v>0.61316617014233699</v>
      </c>
      <c r="N13" s="26">
        <v>0.18545358046868674</v>
      </c>
      <c r="O13" s="26">
        <v>1.3139493484607536</v>
      </c>
      <c r="P13" s="26">
        <v>0.32435733819507784</v>
      </c>
      <c r="Q13" s="26">
        <v>0.85875630352400578</v>
      </c>
      <c r="R13" s="26">
        <v>9.7054625664979979E-2</v>
      </c>
      <c r="S13" s="26">
        <v>0.19431318681318732</v>
      </c>
      <c r="T13" s="26">
        <v>0.47414500683994543</v>
      </c>
      <c r="U13" s="26">
        <v>0.25083579473530515</v>
      </c>
      <c r="V13" s="26">
        <v>0.37591344113903219</v>
      </c>
      <c r="W13" s="26">
        <v>0.30099442982606056</v>
      </c>
      <c r="X13" s="26">
        <v>0.46200598891161931</v>
      </c>
    </row>
    <row r="15" spans="2:82" x14ac:dyDescent="0.3">
      <c r="B15" t="s">
        <v>143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58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  <c r="N15" t="s">
        <v>75</v>
      </c>
      <c r="O15" t="s">
        <v>76</v>
      </c>
      <c r="P15" t="s">
        <v>59</v>
      </c>
      <c r="Q15" t="s">
        <v>77</v>
      </c>
      <c r="R15" t="s">
        <v>78</v>
      </c>
      <c r="S15" t="s">
        <v>79</v>
      </c>
      <c r="T15" t="s">
        <v>80</v>
      </c>
      <c r="U15" t="s">
        <v>81</v>
      </c>
      <c r="V15" t="s">
        <v>82</v>
      </c>
      <c r="W15" t="s">
        <v>83</v>
      </c>
      <c r="X15" t="s">
        <v>84</v>
      </c>
      <c r="Y15" t="s">
        <v>147</v>
      </c>
      <c r="Z15" t="s">
        <v>60</v>
      </c>
      <c r="AA15" t="s">
        <v>85</v>
      </c>
      <c r="AB15" t="s">
        <v>86</v>
      </c>
      <c r="AC15" t="s">
        <v>87</v>
      </c>
      <c r="AD15" t="s">
        <v>88</v>
      </c>
      <c r="AE15" t="s">
        <v>89</v>
      </c>
      <c r="AF15" t="s">
        <v>90</v>
      </c>
      <c r="AG15" t="s">
        <v>91</v>
      </c>
      <c r="AH15" t="s">
        <v>92</v>
      </c>
      <c r="AI15" t="s">
        <v>93</v>
      </c>
      <c r="AJ15" t="s">
        <v>94</v>
      </c>
      <c r="AK15" t="s">
        <v>95</v>
      </c>
      <c r="AL15" t="s">
        <v>96</v>
      </c>
      <c r="AM15" t="s">
        <v>97</v>
      </c>
      <c r="AN15" t="s">
        <v>98</v>
      </c>
      <c r="AO15" t="s">
        <v>99</v>
      </c>
      <c r="AP15" t="s">
        <v>100</v>
      </c>
      <c r="AQ15" t="s">
        <v>101</v>
      </c>
      <c r="AR15" t="s">
        <v>139</v>
      </c>
      <c r="AS15" t="s">
        <v>102</v>
      </c>
      <c r="AT15" t="s">
        <v>103</v>
      </c>
      <c r="AU15" t="s">
        <v>104</v>
      </c>
      <c r="AV15" t="s">
        <v>105</v>
      </c>
      <c r="AW15" t="s">
        <v>106</v>
      </c>
      <c r="AX15" t="s">
        <v>107</v>
      </c>
      <c r="AY15" t="s">
        <v>108</v>
      </c>
      <c r="AZ15" t="s">
        <v>109</v>
      </c>
      <c r="BA15" t="s">
        <v>110</v>
      </c>
      <c r="BB15" t="s">
        <v>111</v>
      </c>
      <c r="BC15" t="s">
        <v>112</v>
      </c>
      <c r="BD15" t="s">
        <v>113</v>
      </c>
      <c r="BE15" t="s">
        <v>114</v>
      </c>
      <c r="BF15" t="s">
        <v>115</v>
      </c>
      <c r="BG15" t="s">
        <v>116</v>
      </c>
      <c r="BH15" t="s">
        <v>117</v>
      </c>
      <c r="BI15" t="s">
        <v>118</v>
      </c>
      <c r="BJ15" t="s">
        <v>119</v>
      </c>
      <c r="BK15" t="s">
        <v>120</v>
      </c>
      <c r="BL15" t="s">
        <v>121</v>
      </c>
      <c r="BM15" t="s">
        <v>146</v>
      </c>
      <c r="BN15" t="s">
        <v>122</v>
      </c>
      <c r="BO15" t="s">
        <v>123</v>
      </c>
      <c r="BP15" t="s">
        <v>124</v>
      </c>
      <c r="BQ15" t="s">
        <v>125</v>
      </c>
      <c r="BR15" t="s">
        <v>126</v>
      </c>
      <c r="BS15" t="s">
        <v>127</v>
      </c>
      <c r="BT15" t="s">
        <v>128</v>
      </c>
      <c r="BU15" t="s">
        <v>129</v>
      </c>
      <c r="BV15" t="s">
        <v>130</v>
      </c>
      <c r="BW15" t="s">
        <v>131</v>
      </c>
      <c r="BX15" t="s">
        <v>132</v>
      </c>
      <c r="BY15" t="s">
        <v>133</v>
      </c>
      <c r="BZ15" t="s">
        <v>134</v>
      </c>
      <c r="CA15" t="s">
        <v>135</v>
      </c>
      <c r="CB15" t="s">
        <v>136</v>
      </c>
      <c r="CC15" t="s">
        <v>137</v>
      </c>
      <c r="CD15" t="s">
        <v>148</v>
      </c>
    </row>
    <row r="16" spans="2:82" x14ac:dyDescent="0.3">
      <c r="B16" t="s">
        <v>144</v>
      </c>
      <c r="C16" t="s">
        <v>150</v>
      </c>
      <c r="D16" t="s">
        <v>150</v>
      </c>
      <c r="E16" t="s">
        <v>150</v>
      </c>
      <c r="F16" t="s">
        <v>150</v>
      </c>
      <c r="G16" t="s">
        <v>150</v>
      </c>
      <c r="H16" t="s">
        <v>150</v>
      </c>
      <c r="I16" t="s">
        <v>150</v>
      </c>
      <c r="J16" t="s">
        <v>150</v>
      </c>
      <c r="K16" t="s">
        <v>150</v>
      </c>
      <c r="L16" t="s">
        <v>150</v>
      </c>
      <c r="M16" t="s">
        <v>150</v>
      </c>
      <c r="N16" t="s">
        <v>150</v>
      </c>
      <c r="O16" t="s">
        <v>150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 t="s">
        <v>150</v>
      </c>
      <c r="W16" t="s">
        <v>150</v>
      </c>
      <c r="X16" t="s">
        <v>150</v>
      </c>
      <c r="Y16" t="s">
        <v>150</v>
      </c>
      <c r="Z16" t="s">
        <v>150</v>
      </c>
      <c r="AA16" t="s">
        <v>150</v>
      </c>
      <c r="AB16" t="s">
        <v>150</v>
      </c>
      <c r="AC16" t="s">
        <v>150</v>
      </c>
      <c r="AD16" t="s">
        <v>150</v>
      </c>
      <c r="AE16" t="s">
        <v>150</v>
      </c>
      <c r="AF16" t="s">
        <v>150</v>
      </c>
      <c r="AG16" t="s">
        <v>150</v>
      </c>
      <c r="AH16" t="s">
        <v>150</v>
      </c>
      <c r="AI16" t="s">
        <v>150</v>
      </c>
      <c r="AJ16" t="s">
        <v>150</v>
      </c>
      <c r="AK16" t="s">
        <v>150</v>
      </c>
      <c r="AL16" t="s">
        <v>150</v>
      </c>
      <c r="AM16" t="s">
        <v>150</v>
      </c>
      <c r="AN16" t="s">
        <v>150</v>
      </c>
      <c r="AO16" t="s">
        <v>150</v>
      </c>
      <c r="AP16" t="s">
        <v>150</v>
      </c>
      <c r="AQ16" t="s">
        <v>150</v>
      </c>
      <c r="AR16" t="s">
        <v>150</v>
      </c>
      <c r="AS16" t="s">
        <v>150</v>
      </c>
      <c r="AT16" t="s">
        <v>150</v>
      </c>
      <c r="AU16" t="s">
        <v>150</v>
      </c>
      <c r="AV16" t="s">
        <v>150</v>
      </c>
      <c r="AW16" t="s">
        <v>150</v>
      </c>
      <c r="AX16" t="s">
        <v>150</v>
      </c>
      <c r="AY16" t="s">
        <v>150</v>
      </c>
      <c r="AZ16" t="s">
        <v>150</v>
      </c>
      <c r="BA16" t="s">
        <v>150</v>
      </c>
      <c r="BB16" t="s">
        <v>150</v>
      </c>
      <c r="BC16" t="s">
        <v>150</v>
      </c>
      <c r="BD16" t="s">
        <v>150</v>
      </c>
      <c r="BE16" t="s">
        <v>150</v>
      </c>
      <c r="BF16" t="s">
        <v>150</v>
      </c>
      <c r="BG16" t="s">
        <v>150</v>
      </c>
      <c r="BH16" t="s">
        <v>150</v>
      </c>
      <c r="BI16" t="s">
        <v>150</v>
      </c>
      <c r="BJ16" t="s">
        <v>150</v>
      </c>
      <c r="BK16" t="s">
        <v>150</v>
      </c>
      <c r="BL16" t="s">
        <v>150</v>
      </c>
      <c r="BM16" t="s">
        <v>150</v>
      </c>
      <c r="BN16" t="s">
        <v>150</v>
      </c>
      <c r="BO16" t="s">
        <v>150</v>
      </c>
      <c r="BP16" t="s">
        <v>150</v>
      </c>
      <c r="BQ16" t="s">
        <v>150</v>
      </c>
      <c r="BR16" t="s">
        <v>150</v>
      </c>
      <c r="BS16" t="s">
        <v>150</v>
      </c>
      <c r="BT16" t="s">
        <v>150</v>
      </c>
      <c r="BU16" t="s">
        <v>150</v>
      </c>
      <c r="BV16" t="s">
        <v>150</v>
      </c>
      <c r="BW16" t="s">
        <v>150</v>
      </c>
      <c r="BX16" t="s">
        <v>150</v>
      </c>
      <c r="BY16" t="s">
        <v>150</v>
      </c>
      <c r="BZ16" t="s">
        <v>150</v>
      </c>
      <c r="CA16" t="s">
        <v>150</v>
      </c>
      <c r="CB16" t="s">
        <v>150</v>
      </c>
      <c r="CC16" t="s">
        <v>150</v>
      </c>
      <c r="CD16" t="s">
        <v>150</v>
      </c>
    </row>
    <row r="17" spans="2:82" x14ac:dyDescent="0.3">
      <c r="B17">
        <v>0</v>
      </c>
      <c r="C17" s="26">
        <v>0</v>
      </c>
      <c r="D17" s="35" t="s">
        <v>31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  <c r="BQ17" s="26">
        <v>0</v>
      </c>
      <c r="BR17" s="26">
        <v>0</v>
      </c>
      <c r="BS17" s="26">
        <v>0</v>
      </c>
      <c r="BT17" s="26">
        <v>0</v>
      </c>
      <c r="BU17" s="26">
        <v>0</v>
      </c>
      <c r="BV17" s="26">
        <v>0</v>
      </c>
      <c r="BW17" s="26">
        <v>0</v>
      </c>
      <c r="BX17" s="26">
        <v>0</v>
      </c>
      <c r="BY17" s="26">
        <v>0</v>
      </c>
      <c r="BZ17" s="26">
        <v>0</v>
      </c>
      <c r="CA17" s="26">
        <v>0</v>
      </c>
      <c r="CB17" s="26">
        <v>0</v>
      </c>
      <c r="CC17" s="26">
        <v>0</v>
      </c>
      <c r="CD17" s="26">
        <v>0</v>
      </c>
    </row>
    <row r="18" spans="2:82" x14ac:dyDescent="0.3">
      <c r="B18">
        <v>5</v>
      </c>
      <c r="C18" s="26">
        <v>5.4795818463190902E-3</v>
      </c>
      <c r="D18" s="35" t="s">
        <v>31</v>
      </c>
      <c r="E18" s="26">
        <v>7.6991853765151505E-3</v>
      </c>
      <c r="F18" s="26">
        <v>1.9138565602308005E-2</v>
      </c>
      <c r="G18" s="26">
        <v>1.6889303441154104E-2</v>
      </c>
      <c r="H18" s="26">
        <v>4.0103391556358938E-3</v>
      </c>
      <c r="I18" s="26">
        <v>5.0755939524840957E-3</v>
      </c>
      <c r="J18" s="26">
        <v>1.0083564487709716E-2</v>
      </c>
      <c r="K18" s="26">
        <v>6.7627016302940724E-3</v>
      </c>
      <c r="L18" s="26">
        <v>1.1750427539030361E-2</v>
      </c>
      <c r="M18" s="26">
        <v>6.7658257320516177E-3</v>
      </c>
      <c r="N18" s="26">
        <v>4.5177799347042667E-3</v>
      </c>
      <c r="O18" s="26">
        <v>2.6748445353099305E-3</v>
      </c>
      <c r="P18" s="26">
        <v>3.7568853949411368E-3</v>
      </c>
      <c r="Q18" s="26">
        <v>2.3264171284825674E-3</v>
      </c>
      <c r="R18" s="26">
        <v>3.2827664953921525E-3</v>
      </c>
      <c r="S18" s="26">
        <v>3.0020958027302679E-3</v>
      </c>
      <c r="T18" s="26">
        <v>3.0048206835428782E-3</v>
      </c>
      <c r="U18" s="26">
        <v>1.9474196689390508E-3</v>
      </c>
      <c r="V18" s="26">
        <v>4.7671220103503017E-3</v>
      </c>
      <c r="W18" s="26">
        <v>1.7200679009071476E-2</v>
      </c>
      <c r="X18" s="26">
        <v>1.7521902377972458E-2</v>
      </c>
      <c r="Y18" s="26">
        <v>8.9237537874073906E-3</v>
      </c>
      <c r="Z18" s="26">
        <v>7.1172129162676949E-3</v>
      </c>
      <c r="AA18" s="26">
        <v>1.232128173161102E-2</v>
      </c>
      <c r="AB18" s="26">
        <v>8.339004163735288E-3</v>
      </c>
      <c r="AC18" s="26">
        <v>7.7161352549481492E-3</v>
      </c>
      <c r="AD18" s="26">
        <v>1.1952092237352441E-2</v>
      </c>
      <c r="AE18" s="26">
        <v>2.3410979749502899E-2</v>
      </c>
      <c r="AF18" s="26">
        <v>1.442702736868736E-2</v>
      </c>
      <c r="AG18" s="26">
        <v>5.1608067003995365E-3</v>
      </c>
      <c r="AH18" s="26">
        <v>6.2072671348367067E-3</v>
      </c>
      <c r="AI18" s="26">
        <v>1.4915076053747091E-2</v>
      </c>
      <c r="AJ18" s="26">
        <v>4.4117981488640276E-3</v>
      </c>
      <c r="AK18" s="26">
        <v>9.0105067163189709E-3</v>
      </c>
      <c r="AL18" s="26">
        <v>1.0764732409119808E-3</v>
      </c>
      <c r="AM18" s="26">
        <v>4.79953282114025E-3</v>
      </c>
      <c r="AN18" s="26">
        <v>1.3319925968026659E-2</v>
      </c>
      <c r="AO18" s="26">
        <v>1.1373807833575644E-2</v>
      </c>
      <c r="AP18" s="26">
        <v>9.9466198070378379E-4</v>
      </c>
      <c r="AQ18" s="26">
        <v>3.8313399554024227E-2</v>
      </c>
      <c r="AR18" s="26">
        <v>4.8975385350698959E-2</v>
      </c>
      <c r="AS18" s="26">
        <v>2.6373398619152968E-2</v>
      </c>
      <c r="AT18" s="26">
        <v>2.293731359253148E-2</v>
      </c>
      <c r="AU18" s="26">
        <v>9.9700897308077543E-3</v>
      </c>
      <c r="AV18" s="26">
        <v>2.197228745244207E-4</v>
      </c>
      <c r="AW18" s="26">
        <v>2.6838720915042844E-2</v>
      </c>
      <c r="AX18" s="26">
        <v>4.4318358464169642E-2</v>
      </c>
      <c r="AY18" s="26">
        <v>6.0521096902142434E-3</v>
      </c>
      <c r="AZ18" s="26">
        <v>8.9873160143797565E-3</v>
      </c>
      <c r="BA18" s="26">
        <v>4.688755916763385E-3</v>
      </c>
      <c r="BB18" s="26">
        <v>1.0726573568103892E-2</v>
      </c>
      <c r="BC18" s="26">
        <v>1.0056086486988859E-2</v>
      </c>
      <c r="BD18" s="26">
        <v>6.7501930405761161E-3</v>
      </c>
      <c r="BE18" s="26">
        <v>4.8563003182925616E-3</v>
      </c>
      <c r="BF18" s="26">
        <v>3.9387516213740337E-3</v>
      </c>
      <c r="BG18" s="26">
        <v>1.0058176732283033E-2</v>
      </c>
      <c r="BH18" s="26">
        <v>6.5054922360050487E-3</v>
      </c>
      <c r="BI18" s="26">
        <v>2.7296926128755491E-3</v>
      </c>
      <c r="BJ18" s="26">
        <v>3.2551905243868792E-3</v>
      </c>
      <c r="BK18" s="26">
        <v>4.8533889896328918E-2</v>
      </c>
      <c r="BL18" s="26">
        <v>8.488581730769466E-3</v>
      </c>
      <c r="BM18" s="26">
        <v>1.2081547254542076E-2</v>
      </c>
      <c r="BN18" s="26">
        <v>6.6535277887271654E-3</v>
      </c>
      <c r="BO18" s="26">
        <v>5.925969865939066E-2</v>
      </c>
      <c r="BP18" s="26">
        <v>5.1916932907348272E-2</v>
      </c>
      <c r="BQ18" s="26">
        <v>7.6982175783655077E-3</v>
      </c>
      <c r="BR18" s="26">
        <v>1.1785558392085125E-2</v>
      </c>
      <c r="BS18" s="26">
        <v>2.8204762131379221E-2</v>
      </c>
      <c r="BT18" s="26">
        <v>1.3278262199786227E-2</v>
      </c>
      <c r="BU18" s="26">
        <v>8.7636372927261137E-3</v>
      </c>
      <c r="BV18" s="26">
        <v>5.1698789925199674E-3</v>
      </c>
      <c r="BW18" s="26">
        <v>1.0227709190672396E-2</v>
      </c>
      <c r="BX18" s="26">
        <v>7.8854568014107024E-3</v>
      </c>
      <c r="BY18" s="26">
        <v>5.9415545046686445E-3</v>
      </c>
      <c r="BZ18" s="26">
        <v>9.1038513412261112E-3</v>
      </c>
      <c r="CA18" s="26">
        <v>5.5953863106228468E-3</v>
      </c>
      <c r="CB18" s="26">
        <v>9.6266729279175164E-3</v>
      </c>
      <c r="CC18" s="26">
        <v>6.0448729834977014E-3</v>
      </c>
      <c r="CD18" s="26">
        <v>4.20714572460874E-3</v>
      </c>
    </row>
    <row r="19" spans="2:82" x14ac:dyDescent="0.3">
      <c r="B19">
        <v>10</v>
      </c>
      <c r="C19" s="26">
        <v>1.9202223415342959E-2</v>
      </c>
      <c r="D19" s="35" t="s">
        <v>31</v>
      </c>
      <c r="E19" s="26">
        <v>1.8627061394794357E-2</v>
      </c>
      <c r="F19" s="26">
        <v>5.6023077688252432E-2</v>
      </c>
      <c r="G19" s="26">
        <v>5.0234851260868067E-2</v>
      </c>
      <c r="H19" s="26">
        <v>9.4618939453279191E-3</v>
      </c>
      <c r="I19" s="26">
        <v>1.4938804895608473E-2</v>
      </c>
      <c r="J19" s="26">
        <v>4.2445177160203337E-2</v>
      </c>
      <c r="K19" s="26">
        <v>1.8442163374450194E-2</v>
      </c>
      <c r="L19" s="26">
        <v>4.6100660157040452E-2</v>
      </c>
      <c r="M19" s="26">
        <v>1.8311556687758676E-2</v>
      </c>
      <c r="N19" s="26">
        <v>2.0841789464396118E-2</v>
      </c>
      <c r="O19" s="26">
        <v>8.2289803220038406E-3</v>
      </c>
      <c r="P19" s="26">
        <v>9.2250922509229342E-3</v>
      </c>
      <c r="Q19" s="26">
        <v>7.6223260388496531E-3</v>
      </c>
      <c r="R19" s="26">
        <v>1.1336758828806789E-2</v>
      </c>
      <c r="S19" s="26">
        <v>8.4964975548968147E-3</v>
      </c>
      <c r="T19" s="26">
        <v>8.7982879007330612E-3</v>
      </c>
      <c r="U19" s="26">
        <v>7.3239913636174384E-3</v>
      </c>
      <c r="V19" s="26">
        <v>1.4184810480675174E-2</v>
      </c>
      <c r="W19" s="26">
        <v>2.4746697787916019E-2</v>
      </c>
      <c r="X19" s="26">
        <v>4.0498384174247989E-2</v>
      </c>
      <c r="Y19" s="26">
        <v>2.6563732204374857E-2</v>
      </c>
      <c r="Z19" s="26">
        <v>1.6476979606447943E-2</v>
      </c>
      <c r="AA19" s="26">
        <v>2.0279052494761238E-2</v>
      </c>
      <c r="AB19" s="26">
        <v>1.76814569612809E-2</v>
      </c>
      <c r="AC19" s="26">
        <v>1.9995177415465609E-2</v>
      </c>
      <c r="AD19" s="26">
        <v>2.6612662757181289E-2</v>
      </c>
      <c r="AE19" s="26">
        <v>5.6019130114881029E-2</v>
      </c>
      <c r="AF19" s="26">
        <v>3.0592250805891105E-2</v>
      </c>
      <c r="AG19" s="26">
        <v>1.2556040882815304E-2</v>
      </c>
      <c r="AH19" s="26">
        <v>1.1488076488354508E-2</v>
      </c>
      <c r="AI19" s="26">
        <v>2.3867406945037761E-2</v>
      </c>
      <c r="AJ19" s="26">
        <v>1.0423062636921101E-2</v>
      </c>
      <c r="AK19" s="26">
        <v>1.5427583455246852E-2</v>
      </c>
      <c r="AL19" s="26">
        <v>3.6221869863113472E-3</v>
      </c>
      <c r="AM19" s="26">
        <v>1.06210193988725E-2</v>
      </c>
      <c r="AN19" s="26">
        <v>2.0329646307874143E-2</v>
      </c>
      <c r="AO19" s="26">
        <v>2.0293836229513574E-2</v>
      </c>
      <c r="AP19" s="26">
        <v>3.3818507343920351E-3</v>
      </c>
      <c r="AQ19" s="26">
        <v>7.6766166632881078E-2</v>
      </c>
      <c r="AR19" s="26">
        <v>9.4605090213884635E-2</v>
      </c>
      <c r="AS19" s="26">
        <v>5.7992979183668018E-2</v>
      </c>
      <c r="AT19" s="26">
        <v>6.0546483168158041E-2</v>
      </c>
      <c r="AU19" s="26">
        <v>2.472195065289565E-2</v>
      </c>
      <c r="AV19" s="26">
        <v>1.5929908403024312E-3</v>
      </c>
      <c r="AW19" s="26">
        <v>6.6131537311483607E-2</v>
      </c>
      <c r="AX19" s="26">
        <v>8.852790300015588E-2</v>
      </c>
      <c r="AY19" s="26">
        <v>1.5352526841277601E-2</v>
      </c>
      <c r="AZ19" s="26">
        <v>2.5469714440751638E-2</v>
      </c>
      <c r="BA19" s="26">
        <v>1.0925545533029558E-2</v>
      </c>
      <c r="BB19" s="26">
        <v>2.1829010900049347E-2</v>
      </c>
      <c r="BC19" s="26">
        <v>2.018184562862179E-2</v>
      </c>
      <c r="BD19" s="26">
        <v>1.4110643385558124E-2</v>
      </c>
      <c r="BE19" s="26">
        <v>7.3137052986333483E-3</v>
      </c>
      <c r="BF19" s="26">
        <v>1.5849916163118431E-2</v>
      </c>
      <c r="BG19" s="26">
        <v>2.102397000401731E-2</v>
      </c>
      <c r="BH19" s="26">
        <v>1.373381694267708E-2</v>
      </c>
      <c r="BI19" s="26">
        <v>7.6634848510538922E-3</v>
      </c>
      <c r="BJ19" s="26">
        <v>1.0887107804251102E-2</v>
      </c>
      <c r="BK19" s="26">
        <v>7.7531050056454873E-2</v>
      </c>
      <c r="BL19" s="26">
        <v>1.6388721955128489E-2</v>
      </c>
      <c r="BM19" s="26">
        <v>2.9011022657685438E-2</v>
      </c>
      <c r="BN19" s="26">
        <v>2.2782814347654973E-2</v>
      </c>
      <c r="BO19" s="26">
        <v>8.8108514256337464E-2</v>
      </c>
      <c r="BP19" s="26">
        <v>8.5479898828541054E-2</v>
      </c>
      <c r="BQ19" s="26">
        <v>1.3652427781192567E-2</v>
      </c>
      <c r="BR19" s="26">
        <v>2.6772132643748253E-2</v>
      </c>
      <c r="BS19" s="26">
        <v>6.0533955170609006E-2</v>
      </c>
      <c r="BT19" s="26">
        <v>2.6158788435062152E-2</v>
      </c>
      <c r="BU19" s="26">
        <v>1.5802652086154542E-2</v>
      </c>
      <c r="BV19" s="26">
        <v>1.7755303164935371E-2</v>
      </c>
      <c r="BW19" s="26">
        <v>1.9149519890260841E-2</v>
      </c>
      <c r="BX19" s="26">
        <v>1.2440410109057916E-2</v>
      </c>
      <c r="BY19" s="26">
        <v>8.9036705988329301E-3</v>
      </c>
      <c r="BZ19" s="26">
        <v>1.6278285628653053E-2</v>
      </c>
      <c r="CA19" s="26">
        <v>1.0246282860373095E-2</v>
      </c>
      <c r="CB19" s="26">
        <v>1.6474915864444117E-2</v>
      </c>
      <c r="CC19" s="26">
        <v>1.3665863155943161E-2</v>
      </c>
      <c r="CD19" s="26">
        <v>1.5014050582095893E-2</v>
      </c>
    </row>
    <row r="20" spans="2:82" x14ac:dyDescent="0.3">
      <c r="B20">
        <v>15</v>
      </c>
      <c r="C20" s="26">
        <v>3.9494046679089324E-2</v>
      </c>
      <c r="D20" s="35" t="s">
        <v>31</v>
      </c>
      <c r="E20" s="26">
        <v>2.806477250149024E-2</v>
      </c>
      <c r="F20" s="26">
        <v>0.10229782154580759</v>
      </c>
      <c r="G20" s="26">
        <v>9.4456843998800832E-2</v>
      </c>
      <c r="H20" s="26">
        <v>1.7654891517193089E-2</v>
      </c>
      <c r="I20" s="26">
        <v>2.4028077753779742E-2</v>
      </c>
      <c r="J20" s="26">
        <v>7.7824880933689639E-2</v>
      </c>
      <c r="K20" s="26">
        <v>2.8913999827482283E-2</v>
      </c>
      <c r="L20" s="26">
        <v>8.3632150935069483E-2</v>
      </c>
      <c r="M20" s="26">
        <v>2.8131591201687456E-2</v>
      </c>
      <c r="N20" s="26">
        <v>4.9766169593223816E-2</v>
      </c>
      <c r="O20" s="26">
        <v>1.3135701507794787E-2</v>
      </c>
      <c r="P20" s="26">
        <v>1.4131771752500353E-2</v>
      </c>
      <c r="Q20" s="26">
        <v>1.2521041780938519E-2</v>
      </c>
      <c r="R20" s="26">
        <v>2.2061822037354312E-2</v>
      </c>
      <c r="S20" s="26">
        <v>1.536922002152465E-2</v>
      </c>
      <c r="T20" s="26">
        <v>1.1316716747011546E-2</v>
      </c>
      <c r="U20" s="26">
        <v>1.2298378561449561E-2</v>
      </c>
      <c r="V20" s="26">
        <v>2.4523287798964941E-2</v>
      </c>
      <c r="W20" s="26">
        <v>3.2173359503474906E-2</v>
      </c>
      <c r="X20" s="26">
        <v>7.5280667999178194E-2</v>
      </c>
      <c r="Y20" s="26">
        <v>7.4025650603910004E-2</v>
      </c>
      <c r="Z20" s="26">
        <v>3.0174455943820552E-2</v>
      </c>
      <c r="AA20" s="26">
        <v>3.4019470012467447E-2</v>
      </c>
      <c r="AB20" s="26">
        <v>3.2398703590500719E-2</v>
      </c>
      <c r="AC20" s="26">
        <v>3.6540352048671093E-2</v>
      </c>
      <c r="AD20" s="26">
        <v>6.0108339131299211E-2</v>
      </c>
      <c r="AE20" s="26">
        <v>0.13753950602832749</v>
      </c>
      <c r="AF20" s="26">
        <v>5.8640414638771628E-2</v>
      </c>
      <c r="AG20" s="26">
        <v>2.0787383413340358E-2</v>
      </c>
      <c r="AH20" s="26">
        <v>1.7343289666290142E-2</v>
      </c>
      <c r="AI20" s="26">
        <v>3.4051709977332117E-2</v>
      </c>
      <c r="AJ20" s="26">
        <v>2.4780357643705647E-2</v>
      </c>
      <c r="AK20" s="26">
        <v>2.2243649421465804E-2</v>
      </c>
      <c r="AL20" s="26">
        <v>6.6043088023510638E-3</v>
      </c>
      <c r="AM20" s="26">
        <v>1.6752741938427608E-2</v>
      </c>
      <c r="AN20" s="26">
        <v>2.8155467144668458E-2</v>
      </c>
      <c r="AO20" s="26">
        <v>3.0803419858637843E-2</v>
      </c>
      <c r="AP20" s="26">
        <v>6.2332150790756127E-3</v>
      </c>
      <c r="AQ20" s="26">
        <v>0.19269460774376679</v>
      </c>
      <c r="AR20" s="26">
        <v>0.24958178993906072</v>
      </c>
      <c r="AS20" s="26">
        <v>0.1298332879959585</v>
      </c>
      <c r="AT20" s="26">
        <v>0.12969278711765558</v>
      </c>
      <c r="AU20" s="26">
        <v>4.5755936075269545E-2</v>
      </c>
      <c r="AV20" s="26">
        <v>2.9250607671074368E-3</v>
      </c>
      <c r="AW20" s="26">
        <v>0.14428171222040007</v>
      </c>
      <c r="AX20" s="26">
        <v>0.23051453443183637</v>
      </c>
      <c r="AY20" s="26">
        <v>2.9474116118443562E-2</v>
      </c>
      <c r="AZ20" s="26">
        <v>5.1436840082299207E-2</v>
      </c>
      <c r="BA20" s="26">
        <v>1.7519573695334863E-2</v>
      </c>
      <c r="BB20" s="26">
        <v>3.4478272183190412E-2</v>
      </c>
      <c r="BC20" s="26">
        <v>3.2432620736904519E-2</v>
      </c>
      <c r="BD20" s="26">
        <v>2.3115052183226716E-2</v>
      </c>
      <c r="BE20" s="26">
        <v>9.7126006365851232E-3</v>
      </c>
      <c r="BF20" s="26">
        <v>5.7863266791104054E-2</v>
      </c>
      <c r="BG20" s="26">
        <v>3.3998422830275911E-2</v>
      </c>
      <c r="BH20" s="26">
        <v>2.1478450556968509E-2</v>
      </c>
      <c r="BI20" s="26">
        <v>1.2919414726776815E-2</v>
      </c>
      <c r="BJ20" s="26">
        <v>2.125447930628907E-2</v>
      </c>
      <c r="BK20" s="26">
        <v>0.21965990351387446</v>
      </c>
      <c r="BL20" s="26">
        <v>3.2702323717949122E-2</v>
      </c>
      <c r="BM20" s="26">
        <v>6.7080016329863545E-2</v>
      </c>
      <c r="BN20" s="26">
        <v>3.5270003941663526E-2</v>
      </c>
      <c r="BO20" s="26">
        <v>0.26468145687507422</v>
      </c>
      <c r="BP20" s="26">
        <v>0.2477369542066028</v>
      </c>
      <c r="BQ20" s="26">
        <v>2.728180700676134E-2</v>
      </c>
      <c r="BR20" s="26">
        <v>6.2737265380087781E-2</v>
      </c>
      <c r="BS20" s="26">
        <v>0.14694078269008112</v>
      </c>
      <c r="BT20" s="26">
        <v>4.3261434908979803E-2</v>
      </c>
      <c r="BU20" s="26">
        <v>2.6290911878177906E-2</v>
      </c>
      <c r="BV20" s="26">
        <v>6.7515388467939016E-2</v>
      </c>
      <c r="BW20" s="26">
        <v>3.5149519890260883E-2</v>
      </c>
      <c r="BX20" s="26">
        <v>1.7762685300072151E-2</v>
      </c>
      <c r="BY20" s="26">
        <v>1.212562143809911E-2</v>
      </c>
      <c r="BZ20" s="26">
        <v>2.5794245466806757E-2</v>
      </c>
      <c r="CA20" s="26">
        <v>1.489717941012334E-2</v>
      </c>
      <c r="CB20" s="26">
        <v>3.1290600297409689E-2</v>
      </c>
      <c r="CC20" s="26">
        <v>2.2677544965696707E-2</v>
      </c>
      <c r="CD20" s="26">
        <v>7.3962264150943785E-2</v>
      </c>
    </row>
    <row r="21" spans="2:82" x14ac:dyDescent="0.3">
      <c r="B21">
        <v>20</v>
      </c>
      <c r="C21" s="26">
        <v>5.6106496541704784E-2</v>
      </c>
      <c r="D21" s="35" t="s">
        <v>31</v>
      </c>
      <c r="E21" s="26">
        <v>3.7519040996092781E-2</v>
      </c>
      <c r="F21" s="26">
        <v>0.13395006465731629</v>
      </c>
      <c r="G21" s="26">
        <v>0.12820213864552454</v>
      </c>
      <c r="H21" s="26">
        <v>2.2855800109657941E-2</v>
      </c>
      <c r="I21" s="26">
        <v>3.1839452843772598E-2</v>
      </c>
      <c r="J21" s="26">
        <v>0.10338270441897404</v>
      </c>
      <c r="K21" s="26">
        <v>3.9661864918485508E-2</v>
      </c>
      <c r="L21" s="26">
        <v>0.1096706570309485</v>
      </c>
      <c r="M21" s="26">
        <v>3.7239433533295056E-2</v>
      </c>
      <c r="N21" s="26">
        <v>6.2595958704668039E-2</v>
      </c>
      <c r="O21" s="26">
        <v>1.7480194224380255E-2</v>
      </c>
      <c r="P21" s="26">
        <v>1.9051820952992442E-2</v>
      </c>
      <c r="Q21" s="26">
        <v>1.7230617919086318E-2</v>
      </c>
      <c r="R21" s="26">
        <v>3.4805480792757741E-2</v>
      </c>
      <c r="S21" s="26">
        <v>1.9655231010328119E-2</v>
      </c>
      <c r="T21" s="26">
        <v>2.0352796212629184E-2</v>
      </c>
      <c r="U21" s="26">
        <v>1.6722408026756168E-2</v>
      </c>
      <c r="V21" s="26">
        <v>3.4745209566879771E-2</v>
      </c>
      <c r="W21" s="26">
        <v>3.8432974378017258E-2</v>
      </c>
      <c r="X21" s="26">
        <v>0.10466441260530904</v>
      </c>
      <c r="Y21" s="26">
        <v>9.8078279998339749E-2</v>
      </c>
      <c r="Z21" s="26">
        <v>4.1239826912751291E-2</v>
      </c>
      <c r="AA21" s="26">
        <v>4.8409772142497448E-2</v>
      </c>
      <c r="AB21" s="26">
        <v>4.6942941834580969E-2</v>
      </c>
      <c r="AC21" s="26">
        <v>4.6686327972845484E-2</v>
      </c>
      <c r="AD21" s="26">
        <v>7.8185568034986816E-2</v>
      </c>
      <c r="AE21" s="26">
        <v>0.180548820253842</v>
      </c>
      <c r="AF21" s="26">
        <v>8.4650148536755204E-2</v>
      </c>
      <c r="AG21" s="26">
        <v>2.6841961106546158E-2</v>
      </c>
      <c r="AH21" s="26">
        <v>2.162352461598338E-2</v>
      </c>
      <c r="AI21" s="26">
        <v>4.098360655737731E-2</v>
      </c>
      <c r="AJ21" s="26">
        <v>4.2389648193209527E-2</v>
      </c>
      <c r="AK21" s="26">
        <v>2.7364011171698614E-2</v>
      </c>
      <c r="AL21" s="26">
        <v>8.8154430269264655E-3</v>
      </c>
      <c r="AM21" s="26">
        <v>2.1333284668869249E-2</v>
      </c>
      <c r="AN21" s="26">
        <v>3.3824450953817344E-2</v>
      </c>
      <c r="AO21" s="26">
        <v>3.8704898299330465E-2</v>
      </c>
      <c r="AP21" s="26">
        <v>8.255694439839369E-3</v>
      </c>
      <c r="AQ21" s="26">
        <v>0.24030762213663137</v>
      </c>
      <c r="AR21" s="26">
        <v>0.30639861393236945</v>
      </c>
      <c r="AS21" s="26">
        <v>0.16581821008044131</v>
      </c>
      <c r="AT21" s="26">
        <v>0.16472067300619248</v>
      </c>
      <c r="AU21" s="26">
        <v>5.8020114414039717E-2</v>
      </c>
      <c r="AV21" s="26">
        <v>3.9962097804144073E-3</v>
      </c>
      <c r="AW21" s="26">
        <v>0.18334228441205974</v>
      </c>
      <c r="AX21" s="26">
        <v>0.28313384113166523</v>
      </c>
      <c r="AY21" s="26">
        <v>4.2535731382069404E-2</v>
      </c>
      <c r="AZ21" s="26">
        <v>7.3933392118293403E-2</v>
      </c>
      <c r="BA21" s="26">
        <v>2.2372063945699527E-2</v>
      </c>
      <c r="BB21" s="26">
        <v>4.381704108480073E-2</v>
      </c>
      <c r="BC21" s="26">
        <v>4.0816563512430869E-2</v>
      </c>
      <c r="BD21" s="26">
        <v>3.0512865220315481E-2</v>
      </c>
      <c r="BE21" s="26">
        <v>1.1444486051301491E-2</v>
      </c>
      <c r="BF21" s="26">
        <v>7.2131354993831276E-2</v>
      </c>
      <c r="BG21" s="26">
        <v>4.3595351813001504E-2</v>
      </c>
      <c r="BH21" s="26">
        <v>2.6964232700424792E-2</v>
      </c>
      <c r="BI21" s="26">
        <v>1.6903748664824313E-2</v>
      </c>
      <c r="BJ21" s="26">
        <v>2.7094674070629821E-2</v>
      </c>
      <c r="BK21" s="26">
        <v>0.26531973859787233</v>
      </c>
      <c r="BL21" s="26">
        <v>4.7263120993589904E-2</v>
      </c>
      <c r="BM21" s="26">
        <v>0.10026280873647697</v>
      </c>
      <c r="BN21" s="26">
        <v>4.4130863224281079E-2</v>
      </c>
      <c r="BO21" s="26">
        <v>0.31488511883576559</v>
      </c>
      <c r="BP21" s="26">
        <v>0.2997370873269436</v>
      </c>
      <c r="BQ21" s="26">
        <v>3.6754763368162656E-2</v>
      </c>
      <c r="BR21" s="26">
        <v>9.4019920371424107E-2</v>
      </c>
      <c r="BS21" s="26">
        <v>0.18544075889528747</v>
      </c>
      <c r="BT21" s="26">
        <v>5.3923818265259653E-2</v>
      </c>
      <c r="BU21" s="26">
        <v>3.52206239300955E-2</v>
      </c>
      <c r="BV21" s="26">
        <v>8.5319159248429227E-2</v>
      </c>
      <c r="BW21" s="26">
        <v>5.0096021947874013E-2</v>
      </c>
      <c r="BX21" s="26">
        <v>2.1174818781427743E-2</v>
      </c>
      <c r="BY21" s="26">
        <v>1.4221621715256056E-2</v>
      </c>
      <c r="BZ21" s="26">
        <v>3.225685598681266E-2</v>
      </c>
      <c r="CA21" s="26">
        <v>1.7816511398274348E-2</v>
      </c>
      <c r="CB21" s="26">
        <v>4.0158096579792142E-2</v>
      </c>
      <c r="CC21" s="26">
        <v>2.8036343408122184E-2</v>
      </c>
      <c r="CD21" s="26">
        <v>9.3520674427940736E-2</v>
      </c>
    </row>
    <row r="22" spans="2:82" x14ac:dyDescent="0.3">
      <c r="B22">
        <v>25</v>
      </c>
      <c r="C22" s="26">
        <v>7.2071503016138877E-2</v>
      </c>
      <c r="D22" s="35" t="s">
        <v>31</v>
      </c>
      <c r="E22" s="26">
        <v>5.0450360951056407E-2</v>
      </c>
      <c r="F22" s="26">
        <v>0.16048940614741905</v>
      </c>
      <c r="G22" s="26">
        <v>0.16281355141743564</v>
      </c>
      <c r="H22" s="26">
        <v>2.8025377927469591E-2</v>
      </c>
      <c r="I22" s="26">
        <v>4.1522678185745232E-2</v>
      </c>
      <c r="J22" s="26">
        <v>0.12935922262347149</v>
      </c>
      <c r="K22" s="26">
        <v>5.3601311136030255E-2</v>
      </c>
      <c r="L22" s="26">
        <v>0.13181074272264245</v>
      </c>
      <c r="M22" s="26">
        <v>5.0866957021941293E-2</v>
      </c>
      <c r="N22" s="26">
        <v>7.4684549545575157E-2</v>
      </c>
      <c r="O22" s="26">
        <v>2.245506431552954E-2</v>
      </c>
      <c r="P22" s="26">
        <v>2.3958500454569862E-2</v>
      </c>
      <c r="Q22" s="26">
        <v>2.2053677819598584E-2</v>
      </c>
      <c r="R22" s="26">
        <v>5.2993230568469038E-2</v>
      </c>
      <c r="S22" s="26">
        <v>2.6018163623662178E-2</v>
      </c>
      <c r="T22" s="26">
        <v>4.8660801141399743E-2</v>
      </c>
      <c r="U22" s="26">
        <v>2.1590957199102832E-2</v>
      </c>
      <c r="V22" s="26">
        <v>5.853419739848028E-2</v>
      </c>
      <c r="W22" s="26">
        <v>4.8909872155323476E-2</v>
      </c>
      <c r="X22" s="26">
        <v>0.14275306820092312</v>
      </c>
      <c r="Y22" s="26">
        <v>0.12003486489851831</v>
      </c>
      <c r="Z22" s="26">
        <v>5.7843147576884101E-2</v>
      </c>
      <c r="AA22" s="26">
        <v>7.0426271253879749E-2</v>
      </c>
      <c r="AB22" s="26">
        <v>6.7427134635125369E-2</v>
      </c>
      <c r="AC22" s="26">
        <v>5.7592788381281082E-2</v>
      </c>
      <c r="AD22" s="26">
        <v>9.2560381671802014E-2</v>
      </c>
      <c r="AE22" s="26">
        <v>0.23158475610775761</v>
      </c>
      <c r="AF22" s="26">
        <v>0.11372542822830438</v>
      </c>
      <c r="AG22" s="26">
        <v>3.3747062809035853E-2</v>
      </c>
      <c r="AH22" s="26">
        <v>2.6478163390094664E-2</v>
      </c>
      <c r="AI22" s="26">
        <v>4.9114622687999286E-2</v>
      </c>
      <c r="AJ22" s="26">
        <v>7.5917798042738585E-2</v>
      </c>
      <c r="AK22" s="26">
        <v>3.3215853171964391E-2</v>
      </c>
      <c r="AL22" s="26">
        <v>1.1390250643702129E-2</v>
      </c>
      <c r="AM22" s="26">
        <v>2.6844535284778429E-2</v>
      </c>
      <c r="AN22" s="26">
        <v>4.2408079394919973E-2</v>
      </c>
      <c r="AO22" s="26">
        <v>4.9662026605759885E-2</v>
      </c>
      <c r="AP22" s="26">
        <v>1.0825237889990527E-2</v>
      </c>
      <c r="AQ22" s="26">
        <v>0.29667545104398968</v>
      </c>
      <c r="AR22" s="26">
        <v>0.36993667104791506</v>
      </c>
      <c r="AS22" s="26">
        <v>0.21052086166919257</v>
      </c>
      <c r="AT22" s="26">
        <v>0.20152737096925205</v>
      </c>
      <c r="AU22" s="26">
        <v>7.018749576513178E-2</v>
      </c>
      <c r="AV22" s="26">
        <v>5.1497548716679976E-3</v>
      </c>
      <c r="AW22" s="26">
        <v>0.22561072968226137</v>
      </c>
      <c r="AX22" s="26">
        <v>0.34568630498989622</v>
      </c>
      <c r="AY22" s="26">
        <v>6.1318926804805302E-2</v>
      </c>
      <c r="AZ22" s="26">
        <v>0.10215017296344069</v>
      </c>
      <c r="BA22" s="26">
        <v>2.7522252984430198E-2</v>
      </c>
      <c r="BB22" s="26">
        <v>5.5454361465290612E-2</v>
      </c>
      <c r="BC22" s="26">
        <v>5.1755170291580124E-2</v>
      </c>
      <c r="BD22" s="26">
        <v>4.0413978628540168E-2</v>
      </c>
      <c r="BE22" s="26">
        <v>1.3106159895150909E-2</v>
      </c>
      <c r="BF22" s="26">
        <v>8.8155272232592188E-2</v>
      </c>
      <c r="BG22" s="26">
        <v>5.6019283131723399E-2</v>
      </c>
      <c r="BH22" s="26">
        <v>3.2850154247286358E-2</v>
      </c>
      <c r="BI22" s="26">
        <v>2.1311947915430673E-2</v>
      </c>
      <c r="BJ22" s="26">
        <v>3.3454605137183083E-2</v>
      </c>
      <c r="BK22" s="26">
        <v>0.31400759571629011</v>
      </c>
      <c r="BL22" s="26">
        <v>6.7282652243590119E-2</v>
      </c>
      <c r="BM22" s="26">
        <v>0.13229740763421116</v>
      </c>
      <c r="BN22" s="26">
        <v>5.3496255419787316E-2</v>
      </c>
      <c r="BO22" s="26">
        <v>0.36485150472574879</v>
      </c>
      <c r="BP22" s="26">
        <v>0.35226970181043649</v>
      </c>
      <c r="BQ22" s="26">
        <v>5.2281807006761348E-2</v>
      </c>
      <c r="BR22" s="26">
        <v>0.12858295525191507</v>
      </c>
      <c r="BS22" s="26">
        <v>0.22224337314995501</v>
      </c>
      <c r="BT22" s="26">
        <v>6.4035490286064312E-2</v>
      </c>
      <c r="BU22" s="26">
        <v>5.0320652035054668E-2</v>
      </c>
      <c r="BV22" s="26">
        <v>0.11170169798213192</v>
      </c>
      <c r="BW22" s="26">
        <v>7.0233196159122158E-2</v>
      </c>
      <c r="BX22" s="26">
        <v>2.4750212237968156E-2</v>
      </c>
      <c r="BY22" s="26">
        <v>1.6577456737515282E-2</v>
      </c>
      <c r="BZ22" s="26">
        <v>3.9356361456616272E-2</v>
      </c>
      <c r="CA22" s="26">
        <v>2.0735843386425354E-2</v>
      </c>
      <c r="CB22" s="26">
        <v>5.279799639978127E-2</v>
      </c>
      <c r="CC22" s="26">
        <v>3.3283886519562732E-2</v>
      </c>
      <c r="CD22" s="26">
        <v>0.13289441991168238</v>
      </c>
    </row>
    <row r="23" spans="2:82" x14ac:dyDescent="0.3">
      <c r="B23">
        <v>30</v>
      </c>
      <c r="C23" s="26">
        <v>8.2035814673278223E-2</v>
      </c>
      <c r="D23" s="35" t="s">
        <v>31</v>
      </c>
      <c r="E23" s="26">
        <v>6.0600039737731017E-2</v>
      </c>
      <c r="F23" s="26">
        <v>0.19649855764448468</v>
      </c>
      <c r="G23" s="26">
        <v>0.19849095572803904</v>
      </c>
      <c r="H23" s="26">
        <v>3.288164799874696E-2</v>
      </c>
      <c r="I23" s="26">
        <v>4.8506119510439247E-2</v>
      </c>
      <c r="J23" s="26">
        <v>0.16158127038956074</v>
      </c>
      <c r="K23" s="26">
        <v>6.5298024670059365E-2</v>
      </c>
      <c r="L23" s="26">
        <v>0.16353138044537649</v>
      </c>
      <c r="M23" s="26">
        <v>6.1741583805845511E-2</v>
      </c>
      <c r="N23" s="26">
        <v>8.631430336186395E-2</v>
      </c>
      <c r="O23" s="26">
        <v>2.6612147542380105E-2</v>
      </c>
      <c r="P23" s="26">
        <v>2.8049628322370356E-2</v>
      </c>
      <c r="Q23" s="26">
        <v>2.6101265343950283E-2</v>
      </c>
      <c r="R23" s="26">
        <v>6.9814860125601633E-2</v>
      </c>
      <c r="S23" s="26">
        <v>3.0417461246530837E-2</v>
      </c>
      <c r="T23" s="26">
        <v>7.2969584297109882E-2</v>
      </c>
      <c r="U23" s="26">
        <v>2.5824478218534692E-2</v>
      </c>
      <c r="V23" s="26">
        <v>7.8465196512658E-2</v>
      </c>
      <c r="W23" s="26">
        <v>6.0925149859424127E-2</v>
      </c>
      <c r="X23" s="26">
        <v>0.17815179422038743</v>
      </c>
      <c r="Y23" s="26">
        <v>0.140746274851617</v>
      </c>
      <c r="Z23" s="26">
        <v>7.2983017656162982E-2</v>
      </c>
      <c r="AA23" s="26">
        <v>9.2575399877981093E-2</v>
      </c>
      <c r="AB23" s="26">
        <v>8.5385405012629714E-2</v>
      </c>
      <c r="AC23" s="26">
        <v>6.7683119099289826E-2</v>
      </c>
      <c r="AD23" s="26">
        <v>0.10170460192823791</v>
      </c>
      <c r="AE23" s="26">
        <v>0.27986154077691033</v>
      </c>
      <c r="AF23" s="26">
        <v>0.14190000632071326</v>
      </c>
      <c r="AG23" s="26">
        <v>4.0882815090314301E-2</v>
      </c>
      <c r="AH23" s="26">
        <v>3.0962219051677876E-2</v>
      </c>
      <c r="AI23" s="26">
        <v>5.6309339991458651E-2</v>
      </c>
      <c r="AJ23" s="26">
        <v>0.10956723443931518</v>
      </c>
      <c r="AK23" s="26">
        <v>3.8652081393802752E-2</v>
      </c>
      <c r="AL23" s="26">
        <v>1.3790495032221656E-2</v>
      </c>
      <c r="AM23" s="26">
        <v>3.1917805719291217E-2</v>
      </c>
      <c r="AN23" s="26">
        <v>5.1414331307655277E-2</v>
      </c>
      <c r="AO23" s="26">
        <v>5.980122843297668E-2</v>
      </c>
      <c r="AP23" s="26">
        <v>1.3229004343357345E-2</v>
      </c>
      <c r="AQ23" s="26">
        <v>0.35366409892560347</v>
      </c>
      <c r="AR23" s="26">
        <v>0.4334747281634605</v>
      </c>
      <c r="AS23" s="26">
        <v>0.25939455174289849</v>
      </c>
      <c r="AT23" s="26">
        <v>0.24304190239270287</v>
      </c>
      <c r="AU23" s="26">
        <v>8.1686977901247834E-2</v>
      </c>
      <c r="AV23" s="26">
        <v>6.3307653222373309E-3</v>
      </c>
      <c r="AW23" s="26">
        <v>0.27210311642692331</v>
      </c>
      <c r="AX23" s="26">
        <v>0.40705736048499963</v>
      </c>
      <c r="AY23" s="26">
        <v>8.1458433062071331E-2</v>
      </c>
      <c r="AZ23" s="26">
        <v>0.13327228741323566</v>
      </c>
      <c r="BA23" s="26">
        <v>3.2330088416540184E-2</v>
      </c>
      <c r="BB23" s="26">
        <v>6.7655477491543325E-2</v>
      </c>
      <c r="BC23" s="26">
        <v>6.4145290709151773E-2</v>
      </c>
      <c r="BD23" s="26">
        <v>5.0178095499041113E-2</v>
      </c>
      <c r="BE23" s="26">
        <v>1.4604006740310958E-2</v>
      </c>
      <c r="BF23" s="26">
        <v>9.6997690531178113E-2</v>
      </c>
      <c r="BG23" s="26">
        <v>6.9529378505854902E-2</v>
      </c>
      <c r="BH23" s="26">
        <v>3.8632814012624132E-2</v>
      </c>
      <c r="BI23" s="26">
        <v>2.5567555653515421E-2</v>
      </c>
      <c r="BJ23" s="26">
        <v>3.9923954372623804E-2</v>
      </c>
      <c r="BK23" s="26">
        <v>0.36533000307934488</v>
      </c>
      <c r="BL23" s="26">
        <v>9.0494791666667032E-2</v>
      </c>
      <c r="BM23" s="26">
        <v>0.15813176158399697</v>
      </c>
      <c r="BN23" s="26">
        <v>6.3366180528183311E-2</v>
      </c>
      <c r="BO23" s="26">
        <v>0.41790247953493909</v>
      </c>
      <c r="BP23" s="26">
        <v>0.40733160276890301</v>
      </c>
      <c r="BQ23" s="26">
        <v>7.4062692071297051E-2</v>
      </c>
      <c r="BR23" s="26">
        <v>0.16755069377389206</v>
      </c>
      <c r="BS23" s="26">
        <v>0.25622233855232496</v>
      </c>
      <c r="BT23" s="26">
        <v>7.6181734740706872E-2</v>
      </c>
      <c r="BU23" s="26">
        <v>7.0032448452949939E-2</v>
      </c>
      <c r="BV23" s="26">
        <v>0.13018401538039012</v>
      </c>
      <c r="BW23" s="26">
        <v>9.4946502057613333E-2</v>
      </c>
      <c r="BX23" s="26">
        <v>2.8456213674655929E-2</v>
      </c>
      <c r="BY23" s="26">
        <v>1.8725423963692991E-2</v>
      </c>
      <c r="BZ23" s="26">
        <v>4.6755582196913219E-2</v>
      </c>
      <c r="CA23" s="26">
        <v>2.3869832138410808E-2</v>
      </c>
      <c r="CB23" s="26">
        <v>6.9656413868670594E-2</v>
      </c>
      <c r="CC23" s="26">
        <v>3.8494344520675246E-2</v>
      </c>
      <c r="CD23" s="26">
        <v>0.15656362906463295</v>
      </c>
    </row>
    <row r="24" spans="2:82" x14ac:dyDescent="0.3">
      <c r="B24">
        <v>35</v>
      </c>
      <c r="C24" s="26">
        <v>9.1321100337933919E-2</v>
      </c>
      <c r="D24" s="35" t="s">
        <v>31</v>
      </c>
      <c r="E24" s="26">
        <v>7.2372342539241241E-2</v>
      </c>
      <c r="F24" s="26">
        <v>0.24697105341689071</v>
      </c>
      <c r="G24" s="26">
        <v>0.24394550118258443</v>
      </c>
      <c r="H24" s="26">
        <v>3.7972898879924999E-2</v>
      </c>
      <c r="I24" s="26">
        <v>5.5795536357091433E-2</v>
      </c>
      <c r="J24" s="26">
        <v>0.20304949320493401</v>
      </c>
      <c r="K24" s="26">
        <v>7.9289226257224246E-2</v>
      </c>
      <c r="L24" s="26">
        <v>0.20827127121604996</v>
      </c>
      <c r="M24" s="26">
        <v>7.4848659161256881E-2</v>
      </c>
      <c r="N24" s="26">
        <v>9.8155828112591978E-2</v>
      </c>
      <c r="O24" s="26">
        <v>3.1092938069682448E-2</v>
      </c>
      <c r="P24" s="26">
        <v>3.2354671372800896E-2</v>
      </c>
      <c r="Q24" s="26">
        <v>3.0508218115791685E-2</v>
      </c>
      <c r="R24" s="26">
        <v>9.2529157491232236E-2</v>
      </c>
      <c r="S24" s="26">
        <v>3.4911164397787367E-2</v>
      </c>
      <c r="T24" s="26">
        <v>0.10081281480360589</v>
      </c>
      <c r="U24" s="26">
        <v>3.0206172473646653E-2</v>
      </c>
      <c r="V24" s="26">
        <v>0.10127511772110585</v>
      </c>
      <c r="W24" s="26">
        <v>7.6587448941701011E-2</v>
      </c>
      <c r="X24" s="26">
        <v>0.22544972260101254</v>
      </c>
      <c r="Y24" s="26">
        <v>0.1618934960361933</v>
      </c>
      <c r="Z24" s="26">
        <v>8.8986218296291067E-2</v>
      </c>
      <c r="AA24" s="26">
        <v>0.12070611952571701</v>
      </c>
      <c r="AB24" s="26">
        <v>0.10408184450006358</v>
      </c>
      <c r="AC24" s="26">
        <v>7.7996030641960534E-2</v>
      </c>
      <c r="AD24" s="26">
        <v>0.10956912831726476</v>
      </c>
      <c r="AE24" s="26">
        <v>0.3414658617748868</v>
      </c>
      <c r="AF24" s="26">
        <v>0.18633461854497199</v>
      </c>
      <c r="AG24" s="26">
        <v>4.761492885871222E-2</v>
      </c>
      <c r="AH24" s="26">
        <v>3.5705682892030993E-2</v>
      </c>
      <c r="AI24" s="26">
        <v>6.3832583199185652E-2</v>
      </c>
      <c r="AJ24" s="26">
        <v>0.15338199956033621</v>
      </c>
      <c r="AK24" s="26">
        <v>4.4603670700891149E-2</v>
      </c>
      <c r="AL24" s="26">
        <v>1.6365302648997156E-2</v>
      </c>
      <c r="AM24" s="26">
        <v>3.7319561289851921E-2</v>
      </c>
      <c r="AN24" s="26">
        <v>6.2140223553243237E-2</v>
      </c>
      <c r="AO24" s="26">
        <v>7.0742924164326454E-2</v>
      </c>
      <c r="AP24" s="26">
        <v>1.583170319286507E-2</v>
      </c>
      <c r="AQ24" s="26">
        <v>0.41791252787350547</v>
      </c>
      <c r="AR24" s="26">
        <v>0.50917074919345184</v>
      </c>
      <c r="AS24" s="26">
        <v>0.31515952279174581</v>
      </c>
      <c r="AT24" s="26">
        <v>0.30381575251775489</v>
      </c>
      <c r="AU24" s="26">
        <v>9.3186460037363847E-2</v>
      </c>
      <c r="AV24" s="26">
        <v>7.6491025693841601E-3</v>
      </c>
      <c r="AW24" s="26">
        <v>0.33733470744487859</v>
      </c>
      <c r="AX24" s="26">
        <v>0.47358930514534464</v>
      </c>
      <c r="AY24" s="26">
        <v>0.10502860790079555</v>
      </c>
      <c r="AZ24" s="26">
        <v>0.17386782427818884</v>
      </c>
      <c r="BA24" s="26">
        <v>3.7658896728290245E-2</v>
      </c>
      <c r="BB24" s="26">
        <v>8.1779281232833234E-2</v>
      </c>
      <c r="BC24" s="26">
        <v>7.8753323966232053E-2</v>
      </c>
      <c r="BD24" s="26">
        <v>6.1349540438887074E-2</v>
      </c>
      <c r="BE24" s="26">
        <v>1.6253978655682708E-2</v>
      </c>
      <c r="BF24" s="26">
        <v>0.10533392388243895</v>
      </c>
      <c r="BG24" s="26">
        <v>8.5806960377330682E-2</v>
      </c>
      <c r="BH24" s="26">
        <v>4.5022136744414472E-2</v>
      </c>
      <c r="BI24" s="26">
        <v>3.0484393279191831E-2</v>
      </c>
      <c r="BJ24" s="26">
        <v>4.7200262603605631E-2</v>
      </c>
      <c r="BK24" s="26">
        <v>0.4275498682724882</v>
      </c>
      <c r="BL24" s="26">
        <v>0.11801382211538484</v>
      </c>
      <c r="BM24" s="26">
        <v>0.22470146968769145</v>
      </c>
      <c r="BN24" s="26">
        <v>7.3504138746551359E-2</v>
      </c>
      <c r="BO24" s="26">
        <v>0.48481433147467118</v>
      </c>
      <c r="BP24" s="26">
        <v>0.47252728966986146</v>
      </c>
      <c r="BQ24" s="26">
        <v>0.10464812538414286</v>
      </c>
      <c r="BR24" s="26">
        <v>0.21757648708350463</v>
      </c>
      <c r="BS24" s="26">
        <v>0.30877710623582266</v>
      </c>
      <c r="BT24" s="26">
        <v>9.4569374330733091E-2</v>
      </c>
      <c r="BU24" s="26">
        <v>9.4598737831830149E-2</v>
      </c>
      <c r="BV24" s="26">
        <v>0.14840783882902248</v>
      </c>
      <c r="BW24" s="26">
        <v>0.12330315500685909</v>
      </c>
      <c r="BX24" s="26">
        <v>3.3272382942597857E-2</v>
      </c>
      <c r="BY24" s="26">
        <v>2.096000277157082E-2</v>
      </c>
      <c r="BZ24" s="26">
        <v>5.5428592836805159E-2</v>
      </c>
      <c r="CA24" s="26">
        <v>2.7633480730978148E-2</v>
      </c>
      <c r="CB24" s="26">
        <v>9.2956092979573066E-2</v>
      </c>
      <c r="CC24" s="26">
        <v>4.4038568514741722E-2</v>
      </c>
      <c r="CD24" s="26">
        <v>0.17798474508229639</v>
      </c>
    </row>
    <row r="25" spans="2:82" x14ac:dyDescent="0.3">
      <c r="B25">
        <v>40</v>
      </c>
      <c r="C25" s="26">
        <v>0.1009695859520577</v>
      </c>
      <c r="D25" s="35" t="s">
        <v>31</v>
      </c>
      <c r="E25" s="26">
        <v>8.4707596529571633E-2</v>
      </c>
      <c r="F25" s="26">
        <v>0.28886899433005109</v>
      </c>
      <c r="G25" s="26">
        <v>0.28352043705653091</v>
      </c>
      <c r="H25" s="26">
        <v>4.309548053575659E-2</v>
      </c>
      <c r="I25" s="26">
        <v>6.3588912886969315E-2</v>
      </c>
      <c r="J25" s="26">
        <v>0.23825474084541487</v>
      </c>
      <c r="K25" s="26">
        <v>9.4056758388682979E-2</v>
      </c>
      <c r="L25" s="26">
        <v>0.24479137934204986</v>
      </c>
      <c r="M25" s="26">
        <v>8.8695318706001891E-2</v>
      </c>
      <c r="N25" s="26">
        <v>0.11010323833053953</v>
      </c>
      <c r="O25" s="26">
        <v>3.5471505238947182E-2</v>
      </c>
      <c r="P25" s="26">
        <v>3.6632975025402699E-2</v>
      </c>
      <c r="Q25" s="26">
        <v>3.4763859204478817E-2</v>
      </c>
      <c r="R25" s="26">
        <v>0.11705815186363248</v>
      </c>
      <c r="S25" s="26">
        <v>3.9555916394464145E-2</v>
      </c>
      <c r="T25" s="26">
        <v>0.12863442789511292</v>
      </c>
      <c r="U25" s="26">
        <v>3.4503196308369941E-2</v>
      </c>
      <c r="V25" s="26">
        <v>0.12474940556669305</v>
      </c>
      <c r="W25" s="26">
        <v>9.2766961964882863E-2</v>
      </c>
      <c r="X25" s="26">
        <v>0.26846991575290036</v>
      </c>
      <c r="Y25" s="26">
        <v>0.18299921138920033</v>
      </c>
      <c r="Z25" s="26">
        <v>0.10255735357597845</v>
      </c>
      <c r="AA25" s="26">
        <v>0.15349213506989592</v>
      </c>
      <c r="AB25" s="26">
        <v>0.12034463270319852</v>
      </c>
      <c r="AC25" s="26">
        <v>8.8067812957914132E-2</v>
      </c>
      <c r="AD25" s="26">
        <v>0.11706092833714374</v>
      </c>
      <c r="AE25" s="26">
        <v>0.40693299443153153</v>
      </c>
      <c r="AF25" s="26">
        <v>0.23038998799064561</v>
      </c>
      <c r="AG25" s="26">
        <v>5.418847035419317E-2</v>
      </c>
      <c r="AH25" s="26">
        <v>4.004150530860353E-2</v>
      </c>
      <c r="AI25" s="26">
        <v>7.0468806465389944E-2</v>
      </c>
      <c r="AJ25" s="26">
        <v>0.1926030367119218</v>
      </c>
      <c r="AK25" s="26">
        <v>5.0206144434100548E-2</v>
      </c>
      <c r="AL25" s="26">
        <v>1.8780093973204667E-2</v>
      </c>
      <c r="AM25" s="26">
        <v>4.2173841633666519E-2</v>
      </c>
      <c r="AN25" s="26">
        <v>7.2443492327198211E-2</v>
      </c>
      <c r="AO25" s="26">
        <v>8.1051884317417708E-2</v>
      </c>
      <c r="AP25" s="26">
        <v>1.8235469646232075E-2</v>
      </c>
      <c r="AQ25" s="26">
        <v>0.47727042367727612</v>
      </c>
      <c r="AR25" s="26">
        <v>0.5812821125582508</v>
      </c>
      <c r="AS25" s="26">
        <v>0.36681822303397693</v>
      </c>
      <c r="AT25" s="26">
        <v>0.36250317645013286</v>
      </c>
      <c r="AU25" s="26">
        <v>0.10519896620817189</v>
      </c>
      <c r="AV25" s="26">
        <v>8.9262417775579847E-3</v>
      </c>
      <c r="AW25" s="26">
        <v>0.40091155850376714</v>
      </c>
      <c r="AX25" s="26">
        <v>0.53514689880304755</v>
      </c>
      <c r="AY25" s="26">
        <v>0.13013745469465904</v>
      </c>
      <c r="AZ25" s="26">
        <v>0.21505121074408182</v>
      </c>
      <c r="BA25" s="26">
        <v>4.2183918311452517E-2</v>
      </c>
      <c r="BB25" s="26">
        <v>9.7392083730881721E-2</v>
      </c>
      <c r="BC25" s="26">
        <v>9.347747831438652E-2</v>
      </c>
      <c r="BD25" s="26">
        <v>7.2222083841881238E-2</v>
      </c>
      <c r="BE25" s="26">
        <v>1.7915652499532128E-2</v>
      </c>
      <c r="BF25" s="26">
        <v>0.11507798411844763</v>
      </c>
      <c r="BG25" s="26">
        <v>0.10315582734455231</v>
      </c>
      <c r="BH25" s="26">
        <v>5.0417564829037288E-2</v>
      </c>
      <c r="BI25" s="26">
        <v>3.4926501754802629E-2</v>
      </c>
      <c r="BJ25" s="26">
        <v>5.4558634461252434E-2</v>
      </c>
      <c r="BK25" s="26">
        <v>0.58353577171793258</v>
      </c>
      <c r="BL25" s="26">
        <v>0.15198066907051319</v>
      </c>
      <c r="BM25" s="26">
        <v>0.29016125739946946</v>
      </c>
      <c r="BN25" s="26">
        <v>8.4398896334253334E-2</v>
      </c>
      <c r="BO25" s="26">
        <v>0.63376438486178688</v>
      </c>
      <c r="BP25" s="26">
        <v>0.62588192225772088</v>
      </c>
      <c r="BQ25" s="26">
        <v>0.1406807006760912</v>
      </c>
      <c r="BR25" s="26">
        <v>0.27999629634528667</v>
      </c>
      <c r="BS25" s="26">
        <v>0.43750694014816272</v>
      </c>
      <c r="BT25" s="26">
        <v>0.11381367599816468</v>
      </c>
      <c r="BU25" s="26">
        <v>0.12192442320958639</v>
      </c>
      <c r="BV25" s="26">
        <v>0.16800491138504328</v>
      </c>
      <c r="BW25" s="26">
        <v>0.15566529492455458</v>
      </c>
      <c r="BX25" s="26">
        <v>4.1108861751453299E-2</v>
      </c>
      <c r="BY25" s="26">
        <v>2.3592994855272578E-2</v>
      </c>
      <c r="BZ25" s="26">
        <v>6.5581447624756567E-2</v>
      </c>
      <c r="CA25" s="26">
        <v>3.2355929535339771E-2</v>
      </c>
      <c r="CB25" s="26">
        <v>0.12173436643969651</v>
      </c>
      <c r="CC25" s="26">
        <v>5.0046356387910475E-2</v>
      </c>
      <c r="CD25" s="26">
        <v>0.20061019670814972</v>
      </c>
    </row>
    <row r="26" spans="2:82" x14ac:dyDescent="0.3">
      <c r="B26">
        <v>45</v>
      </c>
      <c r="C26" s="26">
        <v>0.11361841897482892</v>
      </c>
      <c r="D26" s="35" t="s">
        <v>31</v>
      </c>
      <c r="E26" s="26">
        <v>0.10138088615140096</v>
      </c>
      <c r="F26" s="26">
        <v>0.33034914950761007</v>
      </c>
      <c r="G26" s="26">
        <v>0.32586028848396031</v>
      </c>
      <c r="H26" s="26">
        <v>4.9142320043863451E-2</v>
      </c>
      <c r="I26" s="26">
        <v>7.3380129589632997E-2</v>
      </c>
      <c r="J26" s="26">
        <v>0.27516965858934794</v>
      </c>
      <c r="K26" s="26">
        <v>0.11222289312516187</v>
      </c>
      <c r="L26" s="26">
        <v>0.28068626910134081</v>
      </c>
      <c r="M26" s="26">
        <v>0.10655490727805637</v>
      </c>
      <c r="N26" s="26">
        <v>0.12409776758139975</v>
      </c>
      <c r="O26" s="26">
        <v>4.058267314081257E-2</v>
      </c>
      <c r="P26" s="26">
        <v>4.1499545430237011E-2</v>
      </c>
      <c r="Q26" s="26">
        <v>3.9662574946568323E-2</v>
      </c>
      <c r="R26" s="26">
        <v>0.14464562433732975</v>
      </c>
      <c r="S26" s="26">
        <v>4.4842625984178063E-2</v>
      </c>
      <c r="T26" s="26">
        <v>0.16572991201712103</v>
      </c>
      <c r="U26" s="26">
        <v>3.9477583506202063E-2</v>
      </c>
      <c r="V26" s="26">
        <v>0.15781621520816844</v>
      </c>
      <c r="W26" s="26">
        <v>0.11301787703570122</v>
      </c>
      <c r="X26" s="26">
        <v>0.3100704238507091</v>
      </c>
      <c r="Y26" s="26">
        <v>0.20690657037313748</v>
      </c>
      <c r="Z26" s="26">
        <v>0.11639169939251005</v>
      </c>
      <c r="AA26" s="26">
        <v>0.19564179421204819</v>
      </c>
      <c r="AB26" s="26">
        <v>0.13735712390860574</v>
      </c>
      <c r="AC26" s="26">
        <v>9.934524140745285E-2</v>
      </c>
      <c r="AD26" s="26">
        <v>0.12714938872875478</v>
      </c>
      <c r="AE26" s="26">
        <v>0.46484172505476501</v>
      </c>
      <c r="AF26" s="26">
        <v>0.28459010176347915</v>
      </c>
      <c r="AG26" s="26">
        <v>6.1929680404791812E-2</v>
      </c>
      <c r="AH26" s="26">
        <v>4.4822027460208948E-2</v>
      </c>
      <c r="AI26" s="26">
        <v>7.823844410131775E-2</v>
      </c>
      <c r="AJ26" s="26">
        <v>0.23587201237122785</v>
      </c>
      <c r="AK26" s="26">
        <v>5.7138582258279412E-2</v>
      </c>
      <c r="AL26" s="26">
        <v>2.2911423708595953E-2</v>
      </c>
      <c r="AM26" s="26">
        <v>4.7356607113528404E-2</v>
      </c>
      <c r="AN26" s="26">
        <v>8.4218656640289227E-2</v>
      </c>
      <c r="AO26" s="26">
        <v>9.420043828513254E-2</v>
      </c>
      <c r="AP26" s="26">
        <v>2.2147806770332571E-2</v>
      </c>
      <c r="AQ26" s="26">
        <v>0.53705909183052991</v>
      </c>
      <c r="AR26" s="26">
        <v>0.64971920181622655</v>
      </c>
      <c r="AS26" s="26">
        <v>0.41535512118032603</v>
      </c>
      <c r="AT26" s="26">
        <v>0.41264427770867601</v>
      </c>
      <c r="AU26" s="26">
        <v>0.11967979556476215</v>
      </c>
      <c r="AV26" s="26">
        <v>1.1398124115958709E-2</v>
      </c>
      <c r="AW26" s="26">
        <v>0.45448739349426009</v>
      </c>
      <c r="AX26" s="26">
        <v>0.59664231307321691</v>
      </c>
      <c r="AY26" s="26">
        <v>0.16153776014953627</v>
      </c>
      <c r="AZ26" s="26">
        <v>0.26360532682176874</v>
      </c>
      <c r="BA26" s="26">
        <v>4.7095948319490148E-2</v>
      </c>
      <c r="BB26" s="26">
        <v>0.11758753288807955</v>
      </c>
      <c r="BC26" s="26">
        <v>0.11290453685102841</v>
      </c>
      <c r="BD26" s="26">
        <v>8.5037487234413636E-2</v>
      </c>
      <c r="BE26" s="26">
        <v>1.9986893840105165E-2</v>
      </c>
      <c r="BF26" s="26">
        <v>0.13587902179758962</v>
      </c>
      <c r="BG26" s="26">
        <v>0.12611406210477763</v>
      </c>
      <c r="BH26" s="26">
        <v>5.6329301821279806E-2</v>
      </c>
      <c r="BI26" s="26">
        <v>4.0606296943083646E-2</v>
      </c>
      <c r="BJ26" s="26">
        <v>6.2806028941105763E-2</v>
      </c>
      <c r="BK26" s="26">
        <v>0.73507373319191194</v>
      </c>
      <c r="BL26" s="26">
        <v>0.19225761217948759</v>
      </c>
      <c r="BM26" s="26">
        <v>0.3540773627270874</v>
      </c>
      <c r="BN26" s="26">
        <v>9.5908553409539229E-2</v>
      </c>
      <c r="BO26" s="26">
        <v>0.81379760351168617</v>
      </c>
      <c r="BP26" s="26">
        <v>0.79566027689030894</v>
      </c>
      <c r="BQ26" s="26">
        <v>0.17778119237861131</v>
      </c>
      <c r="BR26" s="26">
        <v>0.34383143080118006</v>
      </c>
      <c r="BS26" s="26">
        <v>0.51499865162835723</v>
      </c>
      <c r="BT26" s="26">
        <v>0.1311763806027233</v>
      </c>
      <c r="BU26" s="26">
        <v>0.15015713227215827</v>
      </c>
      <c r="BV26" s="26">
        <v>0.18941144158844569</v>
      </c>
      <c r="BW26" s="26">
        <v>0.1916268861454053</v>
      </c>
      <c r="BX26" s="26">
        <v>4.7378044798537584E-2</v>
      </c>
      <c r="BY26" s="26">
        <v>2.6295276204334583E-2</v>
      </c>
      <c r="BZ26" s="26">
        <v>7.5228532893750991E-2</v>
      </c>
      <c r="CA26" s="26">
        <v>3.7350276907225449E-2</v>
      </c>
      <c r="CB26" s="26">
        <v>0.15318149800422678</v>
      </c>
      <c r="CC26" s="26">
        <v>5.6610420916002629E-2</v>
      </c>
      <c r="CD26" s="26">
        <v>0.2253071055800886</v>
      </c>
    </row>
    <row r="27" spans="2:82" x14ac:dyDescent="0.3">
      <c r="B27">
        <v>50</v>
      </c>
      <c r="C27" s="26">
        <v>0.13152575561380803</v>
      </c>
      <c r="D27" s="35" t="s">
        <v>31</v>
      </c>
      <c r="E27" s="26">
        <v>0.12444532750513292</v>
      </c>
      <c r="F27" s="26">
        <v>0.37614642395304942</v>
      </c>
      <c r="G27" s="26">
        <v>0.3722142642992774</v>
      </c>
      <c r="H27" s="26">
        <v>5.5815775045038159E-2</v>
      </c>
      <c r="I27" s="26">
        <v>8.4521238300936191E-2</v>
      </c>
      <c r="J27" s="26">
        <v>0.31644597965841509</v>
      </c>
      <c r="K27" s="26">
        <v>0.13603036315017708</v>
      </c>
      <c r="L27" s="26">
        <v>0.32029569150990272</v>
      </c>
      <c r="M27" s="26">
        <v>0.13085161749801433</v>
      </c>
      <c r="N27" s="26">
        <v>0.13987470219712364</v>
      </c>
      <c r="O27" s="26">
        <v>4.6716074623051489E-2</v>
      </c>
      <c r="P27" s="26">
        <v>4.7141558372105756E-2</v>
      </c>
      <c r="Q27" s="26">
        <v>4.5204365342058933E-2</v>
      </c>
      <c r="R27" s="26">
        <v>0.17347687790555416</v>
      </c>
      <c r="S27" s="26">
        <v>5.1243320808866975E-2</v>
      </c>
      <c r="T27" s="26">
        <v>0.21843316976156021</v>
      </c>
      <c r="U27" s="26">
        <v>4.5108166462046732E-2</v>
      </c>
      <c r="V27" s="26">
        <v>0.20652477971000988</v>
      </c>
      <c r="W27" s="26">
        <v>0.14233992891623823</v>
      </c>
      <c r="X27" s="26">
        <v>0.35394990006164451</v>
      </c>
      <c r="Y27" s="26">
        <v>0.23344954966172771</v>
      </c>
      <c r="Z27" s="26">
        <v>0.13105779050546978</v>
      </c>
      <c r="AA27" s="26">
        <v>0.24978116130401357</v>
      </c>
      <c r="AB27" s="26">
        <v>0.15543073320953635</v>
      </c>
      <c r="AC27" s="26">
        <v>0.1116428319700261</v>
      </c>
      <c r="AD27" s="26">
        <v>0.14444389225723103</v>
      </c>
      <c r="AE27" s="26">
        <v>0.52425544723332407</v>
      </c>
      <c r="AF27" s="26">
        <v>0.35179508248530444</v>
      </c>
      <c r="AG27" s="26">
        <v>6.988712537300526E-2</v>
      </c>
      <c r="AH27" s="26">
        <v>5.0362244992495801E-2</v>
      </c>
      <c r="AI27" s="26">
        <v>8.7585006077729496E-2</v>
      </c>
      <c r="AJ27" s="26">
        <v>0.2908982026849809</v>
      </c>
      <c r="AK27" s="26">
        <v>6.5484106929113273E-2</v>
      </c>
      <c r="AL27" s="26">
        <v>3.0141250745530496E-2</v>
      </c>
      <c r="AM27" s="26">
        <v>5.3579575524207758E-2</v>
      </c>
      <c r="AN27" s="26">
        <v>0.10113816872877802</v>
      </c>
      <c r="AO27" s="26">
        <v>0.11086761937096881</v>
      </c>
      <c r="AP27" s="26">
        <v>2.9508305427538798E-2</v>
      </c>
      <c r="AQ27" s="26">
        <v>0.60541252787350575</v>
      </c>
      <c r="AR27" s="26">
        <v>0.7284920540088422</v>
      </c>
      <c r="AS27" s="26">
        <v>0.47104237101516838</v>
      </c>
      <c r="AT27" s="26">
        <v>0.46714547472883139</v>
      </c>
      <c r="AU27" s="26">
        <v>0.13835193448779859</v>
      </c>
      <c r="AV27" s="26">
        <v>1.5078482264244204E-2</v>
      </c>
      <c r="AW27" s="26">
        <v>0.51340484519472285</v>
      </c>
      <c r="AX27" s="26">
        <v>0.66867713353023495</v>
      </c>
      <c r="AY27" s="26">
        <v>0.20395951583122496</v>
      </c>
      <c r="AZ27" s="26">
        <v>0.32883402292613489</v>
      </c>
      <c r="BA27" s="26">
        <v>5.2707570480188093E-2</v>
      </c>
      <c r="BB27" s="26">
        <v>0.14501113134992943</v>
      </c>
      <c r="BC27" s="26">
        <v>0.14006526005318373</v>
      </c>
      <c r="BD27" s="26">
        <v>0.10574887289212169</v>
      </c>
      <c r="BE27" s="26">
        <v>2.2374087249578869E-2</v>
      </c>
      <c r="BF27" s="26">
        <v>0.16957195735391864</v>
      </c>
      <c r="BG27" s="26">
        <v>0.15677959797050992</v>
      </c>
      <c r="BH27" s="26">
        <v>6.3518903359880557E-2</v>
      </c>
      <c r="BI27" s="26">
        <v>4.7252505043997424E-2</v>
      </c>
      <c r="BJ27" s="26">
        <v>7.1983477856498224E-2</v>
      </c>
      <c r="BK27" s="26">
        <v>0.83002018681356293</v>
      </c>
      <c r="BL27" s="26">
        <v>0.23894481169871815</v>
      </c>
      <c r="BM27" s="26">
        <v>0.42285415390896086</v>
      </c>
      <c r="BN27" s="26">
        <v>0.10797004335829749</v>
      </c>
      <c r="BO27" s="26">
        <v>0.99843793253450364</v>
      </c>
      <c r="BP27" s="26">
        <v>0.90821352502662389</v>
      </c>
      <c r="BQ27" s="26">
        <v>0.22251843884449943</v>
      </c>
      <c r="BR27" s="26">
        <v>0.4127987725030095</v>
      </c>
      <c r="BS27" s="26">
        <v>0.57789622297308063</v>
      </c>
      <c r="BT27" s="26">
        <v>0.14918158176533589</v>
      </c>
      <c r="BU27" s="26">
        <v>0.18342318403638327</v>
      </c>
      <c r="BV27" s="26">
        <v>0.21295054687626247</v>
      </c>
      <c r="BW27" s="26">
        <v>0.23359122085048079</v>
      </c>
      <c r="BX27" s="26">
        <v>5.2700319989551457E-2</v>
      </c>
      <c r="BY27" s="26">
        <v>2.9049524502416969E-2</v>
      </c>
      <c r="BZ27" s="26">
        <v>8.5643638543383874E-2</v>
      </c>
      <c r="CA27" s="26">
        <v>4.2015483907898103E-2</v>
      </c>
      <c r="CB27" s="26">
        <v>0.19355873835798712</v>
      </c>
      <c r="CC27" s="26">
        <v>6.3322825885407344E-2</v>
      </c>
      <c r="CD27" s="26">
        <v>0.25252509032517095</v>
      </c>
    </row>
    <row r="29" spans="2:82" x14ac:dyDescent="0.3">
      <c r="B29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4"/>
  <sheetViews>
    <sheetView workbookViewId="0">
      <selection activeCell="J2" sqref="J2"/>
    </sheetView>
  </sheetViews>
  <sheetFormatPr defaultRowHeight="14.4" x14ac:dyDescent="0.3"/>
  <cols>
    <col min="2" max="2" width="9" bestFit="1" customWidth="1"/>
    <col min="3" max="3" width="6" bestFit="1" customWidth="1"/>
    <col min="4" max="4" width="7.33203125" bestFit="1" customWidth="1"/>
    <col min="5" max="5" width="15.5546875" bestFit="1" customWidth="1"/>
    <col min="6" max="6" width="14.5546875" bestFit="1" customWidth="1"/>
    <col min="8" max="8" width="13.88671875" bestFit="1" customWidth="1"/>
    <col min="9" max="9" width="6.5546875" bestFit="1" customWidth="1"/>
  </cols>
  <sheetData>
    <row r="1" spans="2:9" ht="15" customHeight="1" thickBot="1" x14ac:dyDescent="0.35"/>
    <row r="2" spans="2:9" ht="29.4" customHeight="1" thickBot="1" x14ac:dyDescent="0.35">
      <c r="B2" s="1" t="s">
        <v>157</v>
      </c>
      <c r="C2" s="2" t="s">
        <v>27</v>
      </c>
      <c r="D2" s="3" t="s">
        <v>28</v>
      </c>
      <c r="E2" s="3" t="s">
        <v>29</v>
      </c>
      <c r="F2" s="4" t="s">
        <v>30</v>
      </c>
      <c r="H2" s="5" t="s">
        <v>158</v>
      </c>
      <c r="I2" s="6" t="s">
        <v>159</v>
      </c>
    </row>
    <row r="3" spans="2:9" x14ac:dyDescent="0.3">
      <c r="B3" s="7" t="s">
        <v>31</v>
      </c>
      <c r="C3" s="8" t="s">
        <v>31</v>
      </c>
      <c r="D3" s="9" t="s">
        <v>31</v>
      </c>
      <c r="E3" s="10" t="s">
        <v>31</v>
      </c>
      <c r="F3" s="11" t="s">
        <v>31</v>
      </c>
      <c r="H3" s="12" t="s">
        <v>32</v>
      </c>
      <c r="I3" s="13">
        <v>1E-3</v>
      </c>
    </row>
    <row r="4" spans="2:9" ht="16.2" customHeight="1" thickBot="1" x14ac:dyDescent="0.35">
      <c r="B4" s="14" t="s">
        <v>14</v>
      </c>
      <c r="C4" s="15">
        <v>18</v>
      </c>
      <c r="D4" s="24">
        <v>342.15</v>
      </c>
      <c r="E4" s="25">
        <v>74.988531379420209</v>
      </c>
      <c r="F4" s="16">
        <f t="shared" ref="F4:F14" si="0">E4*$I$4</f>
        <v>0.74988531379420209</v>
      </c>
      <c r="H4" s="17" t="s">
        <v>33</v>
      </c>
      <c r="I4" s="18">
        <v>0.01</v>
      </c>
    </row>
    <row r="5" spans="2:9" ht="15.6" customHeight="1" x14ac:dyDescent="0.3">
      <c r="B5" s="14" t="s">
        <v>10</v>
      </c>
      <c r="C5" s="15">
        <v>2</v>
      </c>
      <c r="D5" s="24">
        <v>110.98</v>
      </c>
      <c r="E5" s="25">
        <v>107.6940775246882</v>
      </c>
      <c r="F5" s="16">
        <f t="shared" si="0"/>
        <v>1.076940775246882</v>
      </c>
    </row>
    <row r="6" spans="2:9" ht="15.6" customHeight="1" x14ac:dyDescent="0.3">
      <c r="B6" s="14" t="s">
        <v>13</v>
      </c>
      <c r="C6" s="15">
        <v>5</v>
      </c>
      <c r="D6" s="24">
        <v>159.60900000000001</v>
      </c>
      <c r="E6" s="25">
        <v>34.415791089474901</v>
      </c>
      <c r="F6" s="16">
        <f t="shared" si="0"/>
        <v>0.34415791089474901</v>
      </c>
    </row>
    <row r="7" spans="2:9" ht="15.6" customHeight="1" x14ac:dyDescent="0.3">
      <c r="B7" s="14" t="s">
        <v>15</v>
      </c>
      <c r="C7" s="15">
        <v>1.5</v>
      </c>
      <c r="D7" s="24">
        <v>138.19999999999999</v>
      </c>
      <c r="E7" s="25">
        <v>132.7034933360346</v>
      </c>
      <c r="F7" s="16">
        <f t="shared" si="0"/>
        <v>1.3270349333603459</v>
      </c>
    </row>
    <row r="8" spans="2:9" ht="15.6" customHeight="1" x14ac:dyDescent="0.3">
      <c r="B8" s="14" t="s">
        <v>16</v>
      </c>
      <c r="C8" s="15">
        <v>12</v>
      </c>
      <c r="D8" s="24">
        <v>258.20600000000002</v>
      </c>
      <c r="E8" s="25">
        <v>10.839817586801191</v>
      </c>
      <c r="F8" s="16">
        <f t="shared" si="0"/>
        <v>0.10839817586801191</v>
      </c>
    </row>
    <row r="9" spans="2:9" x14ac:dyDescent="0.3">
      <c r="B9" s="14" t="s">
        <v>17</v>
      </c>
      <c r="C9" s="15">
        <v>1</v>
      </c>
      <c r="D9" s="24">
        <v>42.417999999999999</v>
      </c>
      <c r="E9" s="25">
        <v>120.4076166438647</v>
      </c>
      <c r="F9" s="16">
        <f t="shared" si="0"/>
        <v>1.204076166438647</v>
      </c>
    </row>
    <row r="10" spans="2:9" ht="15.6" customHeight="1" x14ac:dyDescent="0.3">
      <c r="B10" s="14" t="s">
        <v>18</v>
      </c>
      <c r="C10" s="15">
        <v>6</v>
      </c>
      <c r="D10" s="24">
        <v>148.31299999999999</v>
      </c>
      <c r="E10" s="25">
        <v>123.090923311353</v>
      </c>
      <c r="F10" s="16">
        <f t="shared" si="0"/>
        <v>1.2309092331135301</v>
      </c>
    </row>
    <row r="11" spans="2:9" ht="15.6" customHeight="1" x14ac:dyDescent="0.3">
      <c r="B11" s="14" t="s">
        <v>12</v>
      </c>
      <c r="C11" s="15">
        <v>6</v>
      </c>
      <c r="D11" s="24">
        <v>95.206999999999994</v>
      </c>
      <c r="E11" s="25">
        <v>119.5755952568506</v>
      </c>
      <c r="F11" s="16">
        <f t="shared" si="0"/>
        <v>1.195755952568506</v>
      </c>
    </row>
    <row r="12" spans="2:9" ht="15.6" customHeight="1" x14ac:dyDescent="0.3">
      <c r="B12" s="14" t="s">
        <v>9</v>
      </c>
      <c r="C12" s="15">
        <v>7</v>
      </c>
      <c r="D12" s="24">
        <v>120.37</v>
      </c>
      <c r="E12" s="25">
        <v>73.101836036155788</v>
      </c>
      <c r="F12" s="16">
        <f t="shared" si="0"/>
        <v>0.73101836036155787</v>
      </c>
    </row>
    <row r="13" spans="2:9" ht="15.6" customHeight="1" x14ac:dyDescent="0.3">
      <c r="B13" s="14" t="s">
        <v>11</v>
      </c>
      <c r="C13" s="15">
        <v>6</v>
      </c>
      <c r="D13" s="24">
        <v>247.43</v>
      </c>
      <c r="E13" s="25">
        <v>153.74303843511299</v>
      </c>
      <c r="F13" s="16">
        <f t="shared" si="0"/>
        <v>1.5374303843511299</v>
      </c>
    </row>
    <row r="14" spans="2:9" ht="16.2" customHeight="1" thickBot="1" x14ac:dyDescent="0.35">
      <c r="B14" s="19" t="s">
        <v>19</v>
      </c>
      <c r="C14" s="20">
        <v>6</v>
      </c>
      <c r="D14" s="21">
        <v>189.39</v>
      </c>
      <c r="E14" s="22">
        <v>188.47839170511779</v>
      </c>
      <c r="F14" s="23">
        <f t="shared" si="0"/>
        <v>1.884783917051178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Composite dataset</vt:lpstr>
      <vt:lpstr>Screening dataset</vt:lpstr>
      <vt:lpstr>Isotherm screening dataset</vt:lpstr>
      <vt:lpstr>Solubility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Alessio Mondello</dc:creator>
  <cp:keywords/>
  <dc:description/>
  <cp:lastModifiedBy>Giulio  Barletta</cp:lastModifiedBy>
  <cp:revision/>
  <dcterms:created xsi:type="dcterms:W3CDTF">2015-06-05T18:17:20Z</dcterms:created>
  <dcterms:modified xsi:type="dcterms:W3CDTF">2026-05-14T14:54:21Z</dcterms:modified>
  <cp:category/>
  <cp:contentStatus/>
</cp:coreProperties>
</file>