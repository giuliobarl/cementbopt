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giulio_barletta_polito_it/Documents/Documents/Università/PhD/CementBOpt/data/"/>
    </mc:Choice>
  </mc:AlternateContent>
  <xr:revisionPtr revIDLastSave="3" documentId="14_{D319E88B-DA7B-4E95-9F85-04CBF0D54F14}" xr6:coauthVersionLast="47" xr6:coauthVersionMax="47" xr10:uidLastSave="{9CDBFA69-02DE-4F47-A072-585F689DC9E3}"/>
  <bookViews>
    <workbookView xWindow="28680" yWindow="-6495" windowWidth="29040" windowHeight="15720" firstSheet="10" activeTab="16" xr2:uid="{00000000-000D-0000-FFFF-FFFF00000000}"/>
  </bookViews>
  <sheets>
    <sheet name="final_plots" sheetId="19" r:id="rId1"/>
    <sheet name="Valori output_1_20" sheetId="2" r:id="rId2"/>
    <sheet name="Valori output_2_20" sheetId="5" r:id="rId3"/>
    <sheet name="Valori output_3_20" sheetId="10" r:id="rId4"/>
    <sheet name="Valori output_4_20" sheetId="14" r:id="rId5"/>
    <sheet name="Valori output_5_20" sheetId="16" r:id="rId6"/>
    <sheet name="Valori output_6_20" sheetId="17" r:id="rId7"/>
    <sheet name="Valori input_6_20" sheetId="18" r:id="rId8"/>
    <sheet name="Valori input_5_20" sheetId="15" r:id="rId9"/>
    <sheet name="Valori input_4_20" sheetId="13" r:id="rId10"/>
    <sheet name="Valori input_3_20" sheetId="12" r:id="rId11"/>
    <sheet name="Valori output_1_40" sheetId="9" r:id="rId12"/>
    <sheet name="Valori output_2_40" sheetId="3" r:id="rId13"/>
    <sheet name="Valori input_1_20" sheetId="1" r:id="rId14"/>
    <sheet name="Valori input_1_40" sheetId="8" r:id="rId15"/>
    <sheet name="Valori input_2_20" sheetId="6" r:id="rId16"/>
    <sheet name="Valori input_2_40" sheetId="4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9" l="1"/>
  <c r="I13" i="19"/>
  <c r="I12" i="19"/>
  <c r="I11" i="19"/>
  <c r="I10" i="19"/>
  <c r="I9" i="19"/>
  <c r="I8" i="19"/>
  <c r="I7" i="19"/>
  <c r="I6" i="19"/>
  <c r="I5" i="19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D2" i="17"/>
  <c r="C2" i="17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tc={7D5C2764-DF7D-42BE-BD99-EEDD4E3192EC}</author>
    <author>tc={48AFFA50-BA68-4500-96CF-E056A58C5DA4}</author>
  </authors>
  <commentList>
    <comment ref="J1" authorId="0" shapeId="0" xr:uid="{7D5C2764-DF7D-42BE-BD99-EEDD4E3192E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Giusto come reminder:
Curva costruita con la DA con i parametri W0, E, n, che si trovano righe 22-24.
Water uptake (dm nella tabella) in ordinata cosi come si trova in colonna G.
Pressioni si usano queste per costruire la curva a 40 °C.
Su questa curva, nell’ultimo grafico del PDF, si evidenzia il punto A (pA; Xa).</t>
      </text>
    </comment>
    <comment ref="K1" authorId="1" shapeId="0" xr:uid="{48AFFA50-BA68-4500-96CF-E056A58C5DA4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Giusto come reminder:
Curva costruita con la DA con i parametri W0, E, n, che si trovano righe 22-24.
Water uptake (dm nella tabella) in ordinata cosi come si trova in colonna G.
Pressioni si usano queste per costruire la curva a 90 °C.
Su questa curva, nell’ultimo grafico del PDF, si evidenzia il punto C (pC; Xa).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tc={741AB933-428E-4B4B-9F72-4DA7759A5725}</author>
    <author>tc={E470D070-478F-4F1B-B2A6-C0ACAA4FE0DE}</author>
  </authors>
  <commentList>
    <comment ref="G1" authorId="0" shapeId="0" xr:uid="{00000000-0006-0000-0200-00000100000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Come per ZnN4</t>
      </text>
    </comment>
    <comment ref="M1" authorId="1" shapeId="0" xr:uid="{00000000-0006-0000-0200-00000200000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Per questi due campioni evidenziati i dati da considerare sono quelli che si trovano in ‘Valori output_4_20’</t>
      </text>
    </comment>
  </commentList>
</comments>
</file>

<file path=xl/sharedStrings.xml><?xml version="1.0" encoding="utf-8"?>
<sst xmlns="http://schemas.openxmlformats.org/spreadsheetml/2006/main" count="1045" uniqueCount="174">
  <si>
    <t>RH [%]</t>
  </si>
  <si>
    <t>SrB_50</t>
  </si>
  <si>
    <t>LiCl_50</t>
  </si>
  <si>
    <t>MgCl_50</t>
  </si>
  <si>
    <t>CaCl_50</t>
  </si>
  <si>
    <t>MgN_50</t>
  </si>
  <si>
    <t>ZnN_50</t>
  </si>
  <si>
    <t>AlS_50</t>
  </si>
  <si>
    <t>CuS_50</t>
  </si>
  <si>
    <t>KAlS_50</t>
  </si>
  <si>
    <t>MgS_50</t>
  </si>
  <si>
    <t>PC</t>
  </si>
  <si>
    <t>KC_50</t>
  </si>
  <si>
    <t>-</t>
  </si>
  <si>
    <t>dm [g/g]</t>
  </si>
  <si>
    <t>Xa</t>
  </si>
  <si>
    <t>pA</t>
  </si>
  <si>
    <t>mbar</t>
  </si>
  <si>
    <t>Xc</t>
  </si>
  <si>
    <t>pC</t>
  </si>
  <si>
    <t>deltax</t>
  </si>
  <si>
    <t>qst</t>
  </si>
  <si>
    <t>Qu</t>
  </si>
  <si>
    <t>W0_20</t>
  </si>
  <si>
    <t>E_20</t>
  </si>
  <si>
    <t>n_20</t>
  </si>
  <si>
    <t>SrB_2</t>
  </si>
  <si>
    <t>LiCl_2</t>
  </si>
  <si>
    <t>MgCl_2</t>
  </si>
  <si>
    <t>CaCl_2</t>
  </si>
  <si>
    <t>MgN_2</t>
  </si>
  <si>
    <t>ZnN_2</t>
  </si>
  <si>
    <t>AlS_2</t>
  </si>
  <si>
    <t>CuS_2</t>
  </si>
  <si>
    <t>KAlS_2</t>
  </si>
  <si>
    <t>MgS_2</t>
  </si>
  <si>
    <t>KC_2</t>
  </si>
  <si>
    <t>SrB_50_bis</t>
  </si>
  <si>
    <t>CaCl_50_bis</t>
  </si>
  <si>
    <t>MgN_50_bis</t>
  </si>
  <si>
    <t>ZnN_50_bis</t>
  </si>
  <si>
    <t>AlS_50_bis</t>
  </si>
  <si>
    <t>MgS_50_bis</t>
  </si>
  <si>
    <t>dm [g]</t>
  </si>
  <si>
    <t>DeltaX</t>
  </si>
  <si>
    <t>SrB_3</t>
  </si>
  <si>
    <t>MgCl_4</t>
  </si>
  <si>
    <t>LiCl_3</t>
  </si>
  <si>
    <t>LiCl_4</t>
  </si>
  <si>
    <t>ZnN_3</t>
  </si>
  <si>
    <t>MgCl_5</t>
  </si>
  <si>
    <t>LiCl_5</t>
  </si>
  <si>
    <t>MgCl_6</t>
  </si>
  <si>
    <t>LiCl_6</t>
  </si>
  <si>
    <t>MgCl_7</t>
  </si>
  <si>
    <t>ZnN_4</t>
  </si>
  <si>
    <t>KAlS_3</t>
  </si>
  <si>
    <t>KAlS_4</t>
  </si>
  <si>
    <t>KAlS_5</t>
  </si>
  <si>
    <t>CaCl_3</t>
  </si>
  <si>
    <t>KAlS_6</t>
  </si>
  <si>
    <t>MgCl_8</t>
  </si>
  <si>
    <t>KAlS_7</t>
  </si>
  <si>
    <t>MgCl_9</t>
  </si>
  <si>
    <t>CaCl_4</t>
  </si>
  <si>
    <t>LiCl_7</t>
  </si>
  <si>
    <t>ZnN_5</t>
  </si>
  <si>
    <t>MgN_3</t>
  </si>
  <si>
    <t>CaCl_5</t>
  </si>
  <si>
    <t>MgN_4</t>
  </si>
  <si>
    <t>ZnN_6</t>
  </si>
  <si>
    <t>SrB_4</t>
  </si>
  <si>
    <t>LiCl_8</t>
  </si>
  <si>
    <t>CaCl_6</t>
  </si>
  <si>
    <t>ZnN_7</t>
  </si>
  <si>
    <t>KAlS_8</t>
  </si>
  <si>
    <t>MgCl_10</t>
  </si>
  <si>
    <t>MgCl_11</t>
  </si>
  <si>
    <t>AlS_3</t>
  </si>
  <si>
    <t>AlS_4</t>
  </si>
  <si>
    <t>MgS_3</t>
  </si>
  <si>
    <t>CaCl_7</t>
  </si>
  <si>
    <t>MgCl_12</t>
  </si>
  <si>
    <t>AlS_5</t>
  </si>
  <si>
    <t>LiCl_9</t>
  </si>
  <si>
    <t>LiCl_10</t>
  </si>
  <si>
    <t>LiCl_11</t>
  </si>
  <si>
    <t>LiCl_12</t>
  </si>
  <si>
    <t>SrB_5</t>
  </si>
  <si>
    <t>CuS_3</t>
  </si>
  <si>
    <t>LiCl_13</t>
  </si>
  <si>
    <t>LiCl_14</t>
  </si>
  <si>
    <t>CaCl_8</t>
  </si>
  <si>
    <t>CaCl_9</t>
  </si>
  <si>
    <t>MgCl_13</t>
  </si>
  <si>
    <t>MgCl_14</t>
  </si>
  <si>
    <t>MgCl_15</t>
  </si>
  <si>
    <t>CaCl_10</t>
  </si>
  <si>
    <t>ZnN_8</t>
  </si>
  <si>
    <t>ZnN_9</t>
  </si>
  <si>
    <t>MgCl_16</t>
  </si>
  <si>
    <t>MgN_5</t>
  </si>
  <si>
    <t>KAlS_9</t>
  </si>
  <si>
    <t>ZnN_10</t>
  </si>
  <si>
    <t>LiCl_15</t>
  </si>
  <si>
    <t>CaCl_11</t>
  </si>
  <si>
    <t>CaCl_12</t>
  </si>
  <si>
    <t>ZnN_11</t>
  </si>
  <si>
    <t>LiCl_16</t>
  </si>
  <si>
    <t>LiCl_17</t>
  </si>
  <si>
    <t>MgCl_17</t>
  </si>
  <si>
    <t>CaCl_13</t>
  </si>
  <si>
    <t>LiCl_18</t>
  </si>
  <si>
    <t>LiCl_19</t>
  </si>
  <si>
    <t>CaCl_14</t>
  </si>
  <si>
    <t>ZnN_12</t>
  </si>
  <si>
    <t>CaCl_15</t>
  </si>
  <si>
    <t>KAlS_10</t>
  </si>
  <si>
    <t>ZnN_13</t>
  </si>
  <si>
    <t>MgCl_18</t>
  </si>
  <si>
    <t>MgS_4</t>
  </si>
  <si>
    <t>MgCl_19</t>
  </si>
  <si>
    <t>ZnN_14</t>
  </si>
  <si>
    <t>ZnN_15</t>
  </si>
  <si>
    <t>W0</t>
  </si>
  <si>
    <t>E</t>
  </si>
  <si>
    <t>n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</si>
  <si>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</si>
  <si>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</si>
  <si>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</si>
  <si>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</si>
  <si>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</si>
  <si>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</si>
  <si>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</si>
  <si>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</si>
  <si>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</si>
  <si>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</si>
  <si>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</si>
  <si>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</si>
  <si>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</si>
  <si>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</si>
  <si>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</si>
  <si>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</si>
  <si>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</si>
  <si>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</si>
  <si>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</si>
  <si>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</si>
  <si>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</si>
  <si>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</si>
  <si>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</si>
  <si>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Sample name</t>
  </si>
  <si>
    <t>Initial mass [mg]</t>
  </si>
  <si>
    <t>dm [%]</t>
  </si>
  <si>
    <t>Conversion factor mg to g</t>
  </si>
  <si>
    <t>Conversion factor % to fraction</t>
  </si>
  <si>
    <t>nome file</t>
  </si>
  <si>
    <t>4th_opt_round_new</t>
  </si>
  <si>
    <t>T isotherm [°C]</t>
  </si>
  <si>
    <t>3rd_opt_round</t>
  </si>
  <si>
    <t>2st_opt_round</t>
  </si>
  <si>
    <t>1st_opt_round</t>
  </si>
  <si>
    <t>Initial_dataset_50</t>
  </si>
  <si>
    <t>Initial_dataset_50_40C_full</t>
  </si>
  <si>
    <t>Initial_dataset_2_20C</t>
  </si>
  <si>
    <t> </t>
  </si>
  <si>
    <t>Initial_dataset_2_40C</t>
  </si>
  <si>
    <t>CaCl_1</t>
  </si>
  <si>
    <t>p_tr_40 LiCl_10</t>
  </si>
  <si>
    <t>p_tr_90 LiCl_10</t>
  </si>
  <si>
    <t>p0_20</t>
  </si>
  <si>
    <t>p0_40</t>
  </si>
  <si>
    <t>p0_90</t>
  </si>
  <si>
    <t>p_20</t>
  </si>
  <si>
    <t>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</si>
</sst>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#,##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 indent="1"/>
    </xf>
    <xf numFmtId="165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right" vertical="center" indent="1"/>
    </xf>
    <xf numFmtId="1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  <xf numFmtId="0" fontId="0" fillId="0" borderId="0" xfId="0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ssio  Mondello" id="{01BEEA68-29BF-4B81-BF85-558BC868F3A9}" userId="S::alessio.mondello@polito.it::54381761-f02f-4187-86ee-a2d6e4d48fb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5-12-19T11:01:23.24" personId="{01BEEA68-29BF-4B81-BF85-558BC868F3A9}" id="{7D5C2764-DF7D-42BE-BD99-EEDD4E3192EC}">
    <text>Giusto come reminder:
Curva costruita con la DA con i parametri W0, E, n, che si trovano righe 22-24.
Water uptake (dm nella tabella) in ordinata cosi come si trova in colonna G.
Pressioni si usano queste per costruire la curva a 40 °C.
Su questa curva, nell’ultimo grafico del PDF, si evidenzia il punto A (pA; Xa).</text>
  </threadedComment>
  <threadedComment ref="K1" dT="2025-12-19T11:01:56.46" personId="{01BEEA68-29BF-4B81-BF85-558BC868F3A9}" id="{48AFFA50-BA68-4500-96CF-E056A58C5DA4}">
    <text xml:space="preserve">Giusto come reminder:
Curva costruita con la DA con i parametri W0, E, n, che si trovano righe 22-24.
Water uptake (dm nella tabella) in ordinata cosi come si trova in colonna G.
Pressioni si usano queste per costruire la curva a 90 °C.
Su questa curva, nell’ultimo grafico del PDF, si evidenzia il punto C (pC; Xa).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5-12-15T16:07:48.87" personId="{01BEEA68-29BF-4B81-BF85-558BC868F3A9}" id="{741AB933-428E-4B4B-9F72-4DA7759A5725}">
    <text>Come per ZnN4</text>
  </threadedComment>
  <threadedComment ref="M1" dT="2025-12-15T16:07:25.57" personId="{01BEEA68-29BF-4B81-BF85-558BC868F3A9}" id="{E470D070-478F-4F1B-B2A6-C0ACAA4FE0DE}">
    <text>Per questi due campioni evidenziati i dati da considerare sono quelli che si trovano in ‘Valori output_4_20’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0A66-46FB-43D9-A6AF-5C06518CB7D0}">
  <dimension ref="A1:Z47"/>
  <sheetViews>
    <sheetView zoomScale="90" zoomScaleNormal="90" workbookViewId="0">
      <selection activeCell="J1" sqref="J1"/>
    </sheetView>
  </sheetViews>
  <sheetFormatPr defaultRowHeight="14.4" x14ac:dyDescent="0.3"/>
  <cols>
    <col min="1" max="2" width="8.88671875" style="12"/>
    <col min="3" max="9" width="10.77734375" style="12" customWidth="1"/>
    <col min="10" max="11" width="14.6640625" style="12" bestFit="1" customWidth="1"/>
    <col min="12" max="12" width="10.77734375" style="12" customWidth="1"/>
    <col min="13" max="14" width="14.6640625" style="12" bestFit="1" customWidth="1"/>
    <col min="15" max="16" width="10.77734375" style="12" customWidth="1"/>
    <col min="17" max="22" width="8.88671875" style="12"/>
  </cols>
  <sheetData>
    <row r="1" spans="1:11" x14ac:dyDescent="0.3">
      <c r="A1" s="12" t="s">
        <v>173</v>
      </c>
      <c r="B1" s="12" t="s">
        <v>0</v>
      </c>
      <c r="C1" s="12" t="s">
        <v>11</v>
      </c>
      <c r="D1" s="11" t="s">
        <v>166</v>
      </c>
      <c r="E1" s="11" t="s">
        <v>106</v>
      </c>
      <c r="F1" s="11" t="s">
        <v>66</v>
      </c>
      <c r="G1" s="11" t="s">
        <v>123</v>
      </c>
      <c r="H1" s="12" t="s">
        <v>85</v>
      </c>
      <c r="I1" s="12" t="s">
        <v>172</v>
      </c>
      <c r="J1" s="12" t="s">
        <v>167</v>
      </c>
      <c r="K1" s="12" t="s">
        <v>168</v>
      </c>
    </row>
    <row r="3" spans="1:11" x14ac:dyDescent="0.3">
      <c r="B3" s="12" t="s">
        <v>0</v>
      </c>
      <c r="C3" s="12" t="s">
        <v>14</v>
      </c>
      <c r="D3" s="12" t="s">
        <v>14</v>
      </c>
      <c r="E3" s="12" t="s">
        <v>14</v>
      </c>
      <c r="F3" s="12" t="s">
        <v>14</v>
      </c>
      <c r="G3" s="12" t="s">
        <v>14</v>
      </c>
      <c r="H3" s="12" t="s">
        <v>14</v>
      </c>
    </row>
    <row r="4" spans="1:11" x14ac:dyDescent="0.3">
      <c r="B4" s="12">
        <v>0</v>
      </c>
      <c r="C4" s="2">
        <v>0</v>
      </c>
      <c r="D4" s="1">
        <v>0</v>
      </c>
      <c r="E4" s="1">
        <v>0</v>
      </c>
      <c r="F4" s="2">
        <v>0</v>
      </c>
      <c r="G4" s="1">
        <v>0</v>
      </c>
      <c r="H4" s="1">
        <v>0</v>
      </c>
      <c r="I4" s="12">
        <v>0</v>
      </c>
      <c r="J4" s="1">
        <v>0</v>
      </c>
      <c r="K4" s="1">
        <v>0</v>
      </c>
    </row>
    <row r="5" spans="1:11" x14ac:dyDescent="0.3">
      <c r="B5" s="12">
        <v>5</v>
      </c>
      <c r="C5" s="2"/>
      <c r="E5" s="1">
        <v>1.2081547254542076E-2</v>
      </c>
      <c r="F5" s="2">
        <v>8.9237537874073906E-3</v>
      </c>
      <c r="G5" s="1">
        <v>4.20714572460874E-3</v>
      </c>
      <c r="H5" s="1">
        <v>4.8975385350698959E-2</v>
      </c>
      <c r="I5" s="2">
        <f t="shared" ref="I5:I14" si="0">B5/100*$K$19</f>
        <v>1.1696500000000001</v>
      </c>
      <c r="J5" s="1">
        <v>4.4710312904522898</v>
      </c>
      <c r="K5" s="1">
        <v>62.514309994371501</v>
      </c>
    </row>
    <row r="6" spans="1:11" x14ac:dyDescent="0.3">
      <c r="B6" s="12">
        <v>10</v>
      </c>
      <c r="C6" s="2">
        <v>1.7494775163487387E-2</v>
      </c>
      <c r="D6" s="2">
        <v>4.6421774158927731E-2</v>
      </c>
      <c r="E6" s="1">
        <v>2.9011022657685438E-2</v>
      </c>
      <c r="F6" s="2">
        <v>2.6563732204374857E-2</v>
      </c>
      <c r="G6" s="1">
        <v>1.5014050582095893E-2</v>
      </c>
      <c r="H6" s="1">
        <v>9.4605090213884635E-2</v>
      </c>
      <c r="I6" s="2">
        <f t="shared" si="0"/>
        <v>2.3393000000000002</v>
      </c>
      <c r="J6" s="1">
        <v>8.5548377101833601</v>
      </c>
      <c r="K6" s="1">
        <v>109.391494043766</v>
      </c>
    </row>
    <row r="7" spans="1:11" x14ac:dyDescent="0.3">
      <c r="B7" s="12">
        <v>15</v>
      </c>
      <c r="C7" s="2"/>
      <c r="E7" s="1">
        <v>6.7080016329863545E-2</v>
      </c>
      <c r="F7" s="2">
        <v>7.4025650603910004E-2</v>
      </c>
      <c r="G7" s="1">
        <v>7.3962264150943785E-2</v>
      </c>
      <c r="H7" s="1">
        <v>0.24958178993906072</v>
      </c>
      <c r="I7" s="2">
        <f t="shared" si="0"/>
        <v>3.50895</v>
      </c>
      <c r="J7" s="1">
        <v>12.504219428894601</v>
      </c>
      <c r="K7" s="1">
        <v>151.751099651629</v>
      </c>
    </row>
    <row r="8" spans="1:11" x14ac:dyDescent="0.3">
      <c r="B8" s="12">
        <v>20</v>
      </c>
      <c r="C8" s="2">
        <v>2.7877030944515928E-2</v>
      </c>
      <c r="D8" s="1">
        <v>6.9146119832286884E-2</v>
      </c>
      <c r="E8" s="1">
        <v>0.10026280873647697</v>
      </c>
      <c r="F8" s="2">
        <v>9.8078279998339749E-2</v>
      </c>
      <c r="G8" s="1">
        <v>9.3520674427940736E-2</v>
      </c>
      <c r="H8" s="1">
        <v>0.30639861393236945</v>
      </c>
      <c r="I8" s="2">
        <f t="shared" si="0"/>
        <v>4.6786000000000003</v>
      </c>
      <c r="J8" s="1">
        <v>16.368762259360501</v>
      </c>
      <c r="K8" s="1">
        <v>191.42015596436599</v>
      </c>
    </row>
    <row r="9" spans="1:11" x14ac:dyDescent="0.3">
      <c r="B9" s="12">
        <v>25</v>
      </c>
      <c r="C9" s="2"/>
      <c r="E9" s="1">
        <v>0.13229740763421116</v>
      </c>
      <c r="F9" s="2">
        <v>0.12003486489851831</v>
      </c>
      <c r="G9" s="1">
        <v>0.13289441991168238</v>
      </c>
      <c r="H9" s="1">
        <v>0.36993667104791506</v>
      </c>
      <c r="I9" s="2">
        <f t="shared" si="0"/>
        <v>5.8482500000000002</v>
      </c>
      <c r="J9" s="1">
        <v>20.1714206936933</v>
      </c>
      <c r="K9" s="1">
        <v>229.20153219610299</v>
      </c>
    </row>
    <row r="10" spans="1:11" x14ac:dyDescent="0.3">
      <c r="B10" s="12">
        <v>30</v>
      </c>
      <c r="C10" s="2">
        <v>3.7248028045574477E-2</v>
      </c>
      <c r="D10" s="1">
        <v>9.8395844363990681E-2</v>
      </c>
      <c r="E10" s="1">
        <v>0.15813176158399697</v>
      </c>
      <c r="F10" s="2">
        <v>0.140746274851617</v>
      </c>
      <c r="G10" s="1">
        <v>0.15656362906463295</v>
      </c>
      <c r="H10" s="1">
        <v>0.4334747281634605</v>
      </c>
      <c r="I10" s="2">
        <f t="shared" si="0"/>
        <v>7.0179</v>
      </c>
      <c r="J10" s="1">
        <v>23.925479594640301</v>
      </c>
      <c r="K10" s="1">
        <v>265.54367336327903</v>
      </c>
    </row>
    <row r="11" spans="1:11" x14ac:dyDescent="0.3">
      <c r="B11" s="12">
        <v>35</v>
      </c>
      <c r="C11" s="2"/>
      <c r="D11" s="2"/>
      <c r="E11" s="1">
        <v>0.22470146968769145</v>
      </c>
      <c r="F11" s="2">
        <v>0.1618934960361933</v>
      </c>
      <c r="G11" s="1">
        <v>0.17798474508229639</v>
      </c>
      <c r="H11" s="1">
        <v>0.50917074919345184</v>
      </c>
      <c r="I11" s="2">
        <f t="shared" si="0"/>
        <v>8.1875499999999999</v>
      </c>
      <c r="J11" s="1">
        <v>27.639599174655601</v>
      </c>
      <c r="K11" s="1">
        <v>300.731022942594</v>
      </c>
    </row>
    <row r="12" spans="1:11" x14ac:dyDescent="0.3">
      <c r="B12" s="12">
        <v>40</v>
      </c>
      <c r="C12" s="2">
        <v>4.6147104429313392E-2</v>
      </c>
      <c r="D12" s="1">
        <v>0.12554199281635961</v>
      </c>
      <c r="E12" s="1">
        <v>0.29016125739946946</v>
      </c>
      <c r="F12" s="2">
        <v>0.18299921138920033</v>
      </c>
      <c r="G12" s="1">
        <v>0.20061019670814972</v>
      </c>
      <c r="H12" s="1">
        <v>0.5812821125582508</v>
      </c>
      <c r="I12" s="2">
        <f t="shared" si="0"/>
        <v>9.3572000000000006</v>
      </c>
      <c r="J12" s="1">
        <v>31.319866837979099</v>
      </c>
      <c r="K12" s="1">
        <v>334.95909741174597</v>
      </c>
    </row>
    <row r="13" spans="1:11" x14ac:dyDescent="0.3">
      <c r="B13" s="12">
        <v>45</v>
      </c>
      <c r="C13" s="2"/>
      <c r="D13" s="2"/>
      <c r="E13" s="1">
        <v>0.3540773627270874</v>
      </c>
      <c r="F13" s="2">
        <v>0.20690657037313748</v>
      </c>
      <c r="G13" s="1">
        <v>0.2253071055800886</v>
      </c>
      <c r="H13" s="1">
        <v>0.64971920181622655</v>
      </c>
      <c r="I13" s="2">
        <f t="shared" si="0"/>
        <v>10.526850000000001</v>
      </c>
      <c r="J13" s="1">
        <v>34.970791606812298</v>
      </c>
      <c r="K13" s="1">
        <v>368.369997966097</v>
      </c>
    </row>
    <row r="14" spans="1:11" x14ac:dyDescent="0.3">
      <c r="B14" s="12">
        <v>50</v>
      </c>
      <c r="C14" s="2">
        <v>5.5888896379694401E-2</v>
      </c>
      <c r="D14" s="2">
        <v>0.16588199939897855</v>
      </c>
      <c r="E14" s="1">
        <v>0.42285415390896086</v>
      </c>
      <c r="F14" s="2">
        <v>0.23344954966172771</v>
      </c>
      <c r="G14" s="1">
        <v>0.25252509032517095</v>
      </c>
      <c r="H14" s="1">
        <v>0.7284920540088422</v>
      </c>
      <c r="I14" s="2">
        <f t="shared" si="0"/>
        <v>11.6965</v>
      </c>
      <c r="J14" s="1">
        <v>38.5958449422805</v>
      </c>
      <c r="K14" s="1">
        <v>401.071339447073</v>
      </c>
    </row>
    <row r="15" spans="1:11" x14ac:dyDescent="0.3">
      <c r="D15" s="2"/>
      <c r="E15" s="2"/>
      <c r="F15" s="2"/>
      <c r="G15" s="2"/>
    </row>
    <row r="17" spans="1:26" x14ac:dyDescent="0.3">
      <c r="A17" s="12" t="s">
        <v>15</v>
      </c>
      <c r="C17" s="8">
        <v>2.2543194503076163E-2</v>
      </c>
      <c r="D17" s="8">
        <v>5.6522357944452303E-2</v>
      </c>
      <c r="E17" s="8">
        <v>5.9032449486784676E-2</v>
      </c>
      <c r="F17" s="8">
        <v>6.2646932548773487E-2</v>
      </c>
      <c r="G17" s="8">
        <v>5.90214561311556E-2</v>
      </c>
      <c r="H17" s="4">
        <v>0.20656347785260193</v>
      </c>
      <c r="J17" s="12" t="s">
        <v>16</v>
      </c>
      <c r="K17" s="12">
        <v>12.282</v>
      </c>
      <c r="W17" s="12"/>
      <c r="X17" s="12"/>
      <c r="Y17" s="12"/>
      <c r="Z17" s="12"/>
    </row>
    <row r="18" spans="1:26" x14ac:dyDescent="0.3">
      <c r="A18" s="12" t="s">
        <v>18</v>
      </c>
      <c r="C18" s="8">
        <v>8.7095276026206304E-3</v>
      </c>
      <c r="D18" s="8">
        <v>2.2953084907857704E-2</v>
      </c>
      <c r="E18" s="8">
        <v>7.6824758908532343E-3</v>
      </c>
      <c r="F18" s="8">
        <v>5.78905347230225E-3</v>
      </c>
      <c r="G18" s="8">
        <v>1.7641109905020544E-3</v>
      </c>
      <c r="H18" s="4">
        <v>2.8474749473498619E-2</v>
      </c>
      <c r="J18" s="12" t="s">
        <v>19</v>
      </c>
      <c r="K18" s="4">
        <v>42.47</v>
      </c>
      <c r="W18" s="12"/>
      <c r="X18" s="12"/>
      <c r="Y18" s="12"/>
      <c r="Z18" s="12"/>
    </row>
    <row r="19" spans="1:26" x14ac:dyDescent="0.3">
      <c r="A19" s="12" t="s">
        <v>44</v>
      </c>
      <c r="C19" s="8">
        <v>1.3833666900455533E-2</v>
      </c>
      <c r="D19" s="8">
        <v>3.3569273036594599E-2</v>
      </c>
      <c r="E19" s="8">
        <v>5.1349973595931443E-2</v>
      </c>
      <c r="F19" s="8">
        <v>5.6857879076471239E-2</v>
      </c>
      <c r="G19" s="8">
        <v>5.7257345140653546E-2</v>
      </c>
      <c r="H19" s="4">
        <v>0.17808872837910331</v>
      </c>
      <c r="J19" s="12" t="s">
        <v>169</v>
      </c>
      <c r="K19" s="13">
        <v>23.393000000000001</v>
      </c>
      <c r="W19" s="12"/>
      <c r="X19" s="12"/>
      <c r="Y19" s="12"/>
      <c r="Z19" s="12"/>
    </row>
    <row r="20" spans="1:26" x14ac:dyDescent="0.3">
      <c r="A20" s="12" t="s">
        <v>21</v>
      </c>
      <c r="C20" s="8">
        <v>48.890914920448765</v>
      </c>
      <c r="D20" s="8">
        <v>48.863978454488617</v>
      </c>
      <c r="E20" s="8">
        <v>48.670023358797252</v>
      </c>
      <c r="F20" s="8">
        <v>48.710722820639589</v>
      </c>
      <c r="G20" s="8">
        <v>48.596859149973646</v>
      </c>
      <c r="H20" s="2">
        <v>48.754830092038439</v>
      </c>
      <c r="J20" s="12" t="s">
        <v>170</v>
      </c>
      <c r="K20" s="12">
        <v>73.849000000000004</v>
      </c>
      <c r="W20" s="12"/>
      <c r="X20" s="12"/>
      <c r="Y20" s="12"/>
      <c r="Z20" s="12"/>
    </row>
    <row r="21" spans="1:26" x14ac:dyDescent="0.3">
      <c r="A21" s="12" t="s">
        <v>22</v>
      </c>
      <c r="C21" s="8">
        <v>37.543193531390486</v>
      </c>
      <c r="D21" s="8">
        <v>91.05346846477957</v>
      </c>
      <c r="E21" s="8">
        <v>138.72908211976716</v>
      </c>
      <c r="F21" s="8">
        <v>153.7379066257804</v>
      </c>
      <c r="G21" s="8">
        <v>154.45612751050615</v>
      </c>
      <c r="H21" s="2">
        <v>481.96978592452774</v>
      </c>
      <c r="J21" s="12" t="s">
        <v>171</v>
      </c>
      <c r="K21" s="12">
        <v>701.82</v>
      </c>
      <c r="W21" s="12"/>
      <c r="X21" s="12"/>
      <c r="Y21" s="12"/>
      <c r="Z21" s="12"/>
    </row>
    <row r="22" spans="1:26" x14ac:dyDescent="0.3">
      <c r="A22" s="12" t="s">
        <v>23</v>
      </c>
      <c r="C22" s="8">
        <v>0.12377279983087709</v>
      </c>
      <c r="D22" s="8">
        <v>0.94233965355888449</v>
      </c>
      <c r="E22" s="8">
        <v>2.6433730951108272</v>
      </c>
      <c r="F22" s="8">
        <v>0.32345214065626671</v>
      </c>
      <c r="G22" s="8">
        <v>0.31098905741924199</v>
      </c>
      <c r="H22" s="4">
        <v>1.1238205638355236</v>
      </c>
      <c r="W22" s="12"/>
      <c r="X22" s="12"/>
      <c r="Y22" s="12"/>
      <c r="Z22" s="12"/>
    </row>
    <row r="23" spans="1:26" x14ac:dyDescent="0.3">
      <c r="A23" s="12" t="s">
        <v>24</v>
      </c>
      <c r="C23" s="8">
        <v>2286.7761842297405</v>
      </c>
      <c r="D23" s="8">
        <v>509.38959897598522</v>
      </c>
      <c r="E23" s="8">
        <v>733.84587816419048</v>
      </c>
      <c r="F23" s="8">
        <v>3360.9188020944598</v>
      </c>
      <c r="G23" s="8">
        <v>3578.7399997357506</v>
      </c>
      <c r="H23" s="2">
        <v>3115.4800847679016</v>
      </c>
      <c r="W23" s="12"/>
      <c r="X23" s="12"/>
      <c r="Y23" s="12"/>
      <c r="Z23" s="12"/>
    </row>
    <row r="24" spans="1:26" x14ac:dyDescent="0.3">
      <c r="A24" s="12" t="s">
        <v>25</v>
      </c>
      <c r="C24" s="8">
        <v>0.74554321792055855</v>
      </c>
      <c r="D24" s="8">
        <v>0.46688017152387007</v>
      </c>
      <c r="E24" s="8">
        <v>0.72159069300753997</v>
      </c>
      <c r="F24" s="8">
        <v>1.5063053288436188</v>
      </c>
      <c r="G24" s="8">
        <v>1.9077943800878678</v>
      </c>
      <c r="H24" s="2">
        <v>1.3017092090758298</v>
      </c>
      <c r="W24" s="12"/>
      <c r="X24" s="12"/>
      <c r="Y24" s="12"/>
      <c r="Z24" s="12"/>
    </row>
    <row r="25" spans="1:26" x14ac:dyDescent="0.3">
      <c r="D25" s="2"/>
      <c r="W25" s="12"/>
    </row>
    <row r="26" spans="1:26" x14ac:dyDescent="0.3">
      <c r="D26" s="2"/>
    </row>
    <row r="27" spans="1:26" x14ac:dyDescent="0.3">
      <c r="D27" s="2"/>
    </row>
    <row r="29" spans="1:26" x14ac:dyDescent="0.3">
      <c r="D29" s="2"/>
    </row>
    <row r="30" spans="1:26" x14ac:dyDescent="0.3">
      <c r="D30" s="2"/>
    </row>
    <row r="31" spans="1:26" x14ac:dyDescent="0.3">
      <c r="D31" s="2"/>
    </row>
    <row r="32" spans="1:26" x14ac:dyDescent="0.3">
      <c r="D32" s="2"/>
    </row>
    <row r="33" spans="1:4" x14ac:dyDescent="0.3">
      <c r="D33" s="2"/>
    </row>
    <row r="37" spans="1:4" x14ac:dyDescent="0.3">
      <c r="A37" s="3"/>
      <c r="B37" s="2"/>
      <c r="C37" s="2"/>
      <c r="D37" s="3"/>
    </row>
    <row r="38" spans="1:4" x14ac:dyDescent="0.3">
      <c r="A38" s="3"/>
      <c r="B38" s="2"/>
      <c r="C38" s="2"/>
    </row>
    <row r="39" spans="1:4" x14ac:dyDescent="0.3">
      <c r="A39" s="3"/>
      <c r="B39" s="2"/>
      <c r="C39" s="2"/>
    </row>
    <row r="40" spans="1:4" x14ac:dyDescent="0.3">
      <c r="A40" s="3"/>
      <c r="B40" s="2"/>
      <c r="C40" s="2"/>
    </row>
    <row r="41" spans="1:4" x14ac:dyDescent="0.3">
      <c r="A41" s="3"/>
      <c r="B41" s="2"/>
      <c r="C41" s="2"/>
    </row>
    <row r="42" spans="1:4" x14ac:dyDescent="0.3">
      <c r="A42" s="3"/>
      <c r="B42" s="2"/>
      <c r="C42" s="2"/>
    </row>
    <row r="43" spans="1:4" x14ac:dyDescent="0.3">
      <c r="A43" s="3"/>
      <c r="B43" s="2"/>
      <c r="C43" s="2"/>
    </row>
    <row r="44" spans="1:4" x14ac:dyDescent="0.3">
      <c r="A44" s="3"/>
      <c r="B44" s="2"/>
      <c r="C44" s="2"/>
    </row>
    <row r="45" spans="1:4" x14ac:dyDescent="0.3">
      <c r="A45" s="3"/>
      <c r="B45" s="2"/>
      <c r="C45" s="2"/>
    </row>
    <row r="46" spans="1:4" x14ac:dyDescent="0.3">
      <c r="A46" s="3"/>
      <c r="B46" s="2"/>
      <c r="C46" s="2"/>
    </row>
    <row r="47" spans="1:4" x14ac:dyDescent="0.3">
      <c r="A47" s="3"/>
      <c r="B47" s="2"/>
      <c r="C47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8EFE-C7C6-4AD4-8FAB-862B0649D0FD}">
  <dimension ref="A1:Y25"/>
  <sheetViews>
    <sheetView topLeftCell="E1" zoomScale="65" zoomScaleNormal="110" workbookViewId="0">
      <selection activeCell="M4" sqref="M4:M9"/>
    </sheetView>
  </sheetViews>
  <sheetFormatPr defaultRowHeight="14.4" x14ac:dyDescent="0.3"/>
  <cols>
    <col min="2" max="2" width="9.6640625" bestFit="1" customWidth="1"/>
    <col min="3" max="4" width="16.33203125" bestFit="1" customWidth="1"/>
    <col min="5" max="6" width="15.109375" bestFit="1" customWidth="1"/>
    <col min="7" max="14" width="16.33203125" bestFit="1" customWidth="1"/>
  </cols>
  <sheetData>
    <row r="1" spans="1:25" x14ac:dyDescent="0.3">
      <c r="B1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13</v>
      </c>
      <c r="Q1" s="3" t="s">
        <v>13</v>
      </c>
      <c r="R1" s="3" t="s">
        <v>13</v>
      </c>
      <c r="S1" s="3" t="s">
        <v>13</v>
      </c>
      <c r="T1" s="3" t="s">
        <v>13</v>
      </c>
      <c r="U1" s="3" t="s">
        <v>13</v>
      </c>
      <c r="V1" s="3" t="s">
        <v>13</v>
      </c>
      <c r="W1" s="3" t="s">
        <v>13</v>
      </c>
      <c r="X1" s="3" t="s">
        <v>13</v>
      </c>
      <c r="Y1" s="3" t="s">
        <v>13</v>
      </c>
    </row>
    <row r="2" spans="1:25" x14ac:dyDescent="0.3">
      <c r="C2" t="str">
        <f>'Valori input_1_20'!B$1</f>
        <v>S01</v>
      </c>
      <c r="D2" t="str">
        <f>'Valori input_1_20'!C$1</f>
        <v>S02</v>
      </c>
      <c r="E2" t="str">
        <f>'Valori input_1_20'!D$1</f>
        <v>S03</v>
      </c>
      <c r="F2" t="str">
        <f>'Valori input_1_20'!E$1</f>
        <v>S04</v>
      </c>
      <c r="G2" t="str">
        <f>'Valori input_1_20'!F$1</f>
        <v>S05</v>
      </c>
      <c r="H2" t="str">
        <f>'Valori input_1_20'!G$1</f>
        <v>S06</v>
      </c>
      <c r="I2" t="str">
        <f>'Valori input_1_20'!H$1</f>
        <v>S07</v>
      </c>
      <c r="J2" t="str">
        <f>'Valori input_1_20'!I$1</f>
        <v>S08</v>
      </c>
      <c r="K2" t="str">
        <f>'Valori input_1_20'!J$1</f>
        <v>S09</v>
      </c>
      <c r="L2" t="str">
        <f>'Valori input_1_20'!K$1</f>
        <v>S10</v>
      </c>
      <c r="M2" t="str">
        <f>'Valori input_1_20'!L$1</f>
        <v>S11</v>
      </c>
      <c r="N2" t="str">
        <f>'Valori input_1_20'!M$1</f>
        <v>S12</v>
      </c>
      <c r="O2" t="str">
        <f>'Valori input_1_20'!N$1</f>
        <v>S13</v>
      </c>
      <c r="P2" t="str">
        <f>'Valori input_1_20'!O$1</f>
        <v>S14</v>
      </c>
      <c r="Q2" t="str">
        <f>'Valori input_1_20'!P$1</f>
        <v>S15</v>
      </c>
      <c r="R2" t="str">
        <f>'Valori input_1_20'!Q$1</f>
        <v>S16</v>
      </c>
      <c r="S2" t="str">
        <f>'Valori input_1_20'!R$1</f>
        <v>S17</v>
      </c>
      <c r="T2" t="str">
        <f>'Valori input_1_20'!S$1</f>
        <v>S18</v>
      </c>
      <c r="U2" t="str">
        <f>'Valori input_1_20'!T$1</f>
        <v>S19</v>
      </c>
      <c r="V2" t="str">
        <f>'Valori input_1_20'!U$1</f>
        <v>S20</v>
      </c>
      <c r="W2" t="str">
        <f>'Valori input_1_20'!V$1</f>
        <v>S21</v>
      </c>
      <c r="X2" t="str">
        <f>'Valori input_1_20'!W$1</f>
        <v>S22</v>
      </c>
      <c r="Y2" t="str">
        <f>'Valori input_1_20'!X$1</f>
        <v>S23</v>
      </c>
    </row>
    <row r="3" spans="1:25" x14ac:dyDescent="0.3">
      <c r="B3" t="s">
        <v>0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  <c r="R3" t="s">
        <v>14</v>
      </c>
      <c r="S3" t="s">
        <v>14</v>
      </c>
      <c r="T3" t="s">
        <v>14</v>
      </c>
      <c r="U3" t="s">
        <v>14</v>
      </c>
      <c r="V3" t="s">
        <v>14</v>
      </c>
      <c r="W3" t="s">
        <v>14</v>
      </c>
      <c r="X3" t="s">
        <v>14</v>
      </c>
      <c r="Y3" t="s">
        <v>14</v>
      </c>
    </row>
    <row r="4" spans="1:25" x14ac:dyDescent="0.3">
      <c r="B4">
        <v>0</v>
      </c>
      <c r="C4" s="1">
        <f>'Valori input_1_20'!B5*'Valori input_1_20'!$B$18</f>
        <v>0</v>
      </c>
      <c r="D4" s="1">
        <f>'Valori input_1_20'!C5*'Valori input_1_20'!$B$18</f>
        <v>0</v>
      </c>
      <c r="E4" s="1">
        <f>'Valori input_1_20'!D5*'Valori input_1_20'!$B$18</f>
        <v>0</v>
      </c>
      <c r="F4" s="1">
        <f>'Valori input_1_20'!E5*'Valori input_1_20'!$B$18</f>
        <v>0</v>
      </c>
      <c r="G4" s="1">
        <f>'Valori input_1_20'!F5*'Valori input_1_20'!$B$18</f>
        <v>0</v>
      </c>
      <c r="H4" s="1">
        <f>'Valori input_1_20'!G5*'Valori input_1_20'!$B$18</f>
        <v>0</v>
      </c>
      <c r="I4" s="1">
        <f>'Valori input_1_20'!H5*'Valori input_1_20'!$B$18</f>
        <v>0</v>
      </c>
      <c r="J4" s="1">
        <f>'Valori input_1_20'!I5*'Valori input_1_20'!$B$18</f>
        <v>0</v>
      </c>
      <c r="K4" s="1">
        <f>'Valori input_1_20'!J5*'Valori input_1_20'!$B$18</f>
        <v>0</v>
      </c>
      <c r="L4" s="1">
        <f>'Valori input_1_20'!K5*'Valori input_1_20'!$B$18</f>
        <v>0</v>
      </c>
      <c r="M4" s="7">
        <f>'Valori input_1_20'!L5*'Valori input_1_20'!$B$18</f>
        <v>0</v>
      </c>
      <c r="N4" s="1">
        <f>'Valori input_1_20'!M5*'Valori input_1_20'!$B$18</f>
        <v>0</v>
      </c>
      <c r="O4" s="1">
        <f>'Valori input_1_20'!N5*'Valori input_1_20'!$B$18</f>
        <v>0</v>
      </c>
      <c r="P4" s="1">
        <f>'Valori input_1_20'!O5*'Valori input_1_20'!$B$18</f>
        <v>0</v>
      </c>
      <c r="Q4" s="1">
        <f>'Valori input_1_20'!P5*'Valori input_1_20'!$B$18</f>
        <v>0</v>
      </c>
      <c r="R4" s="1">
        <f>'Valori input_1_20'!Q5*'Valori input_1_20'!$B$18</f>
        <v>0</v>
      </c>
      <c r="S4" s="1">
        <f>'Valori input_1_20'!R5*'Valori input_1_20'!$B$18</f>
        <v>0</v>
      </c>
      <c r="T4" s="1">
        <f>'Valori input_1_20'!S5*'Valori input_1_20'!$B$18</f>
        <v>0</v>
      </c>
      <c r="U4" s="1">
        <f>'Valori input_1_20'!T5*'Valori input_1_20'!$B$18</f>
        <v>0</v>
      </c>
      <c r="V4" s="1">
        <f>'Valori input_1_20'!U5*'Valori input_1_20'!$B$18</f>
        <v>0</v>
      </c>
      <c r="W4" s="1">
        <f>'Valori input_1_20'!V5*'Valori input_1_20'!$B$18</f>
        <v>0</v>
      </c>
      <c r="X4" s="1">
        <f>'Valori input_1_20'!W5*'Valori input_1_20'!$B$18</f>
        <v>0</v>
      </c>
      <c r="Y4" s="1">
        <f>'Valori input_1_20'!X5*'Valori input_1_20'!$B$18</f>
        <v>0</v>
      </c>
    </row>
    <row r="5" spans="1:25" x14ac:dyDescent="0.3">
      <c r="B5">
        <v>10</v>
      </c>
      <c r="C5" s="1">
        <f>'Valori input_1_20'!B6*'Valori input_1_20'!$B$18</f>
        <v>4.921851155767646E-2</v>
      </c>
      <c r="D5" s="1">
        <f>'Valori input_1_20'!C6*'Valori input_1_20'!$B$18</f>
        <v>6.0460021905805524E-2</v>
      </c>
      <c r="E5" s="1">
        <f>'Valori input_1_20'!D6*'Valori input_1_20'!$B$18</f>
        <v>3.7255933409660789E-2</v>
      </c>
      <c r="F5" s="1">
        <f>'Valori input_1_20'!E6*'Valori input_1_20'!$B$18</f>
        <v>4.6421774158927731E-2</v>
      </c>
      <c r="G5" s="1">
        <f>'Valori input_1_20'!F6*'Valori input_1_20'!$B$18</f>
        <v>3.0415196120628044E-2</v>
      </c>
      <c r="H5" s="1">
        <f>'Valori input_1_20'!G6*'Valori input_1_20'!$B$18</f>
        <v>1.762661370407146E-2</v>
      </c>
      <c r="I5" s="1">
        <f>'Valori input_1_20'!H6*'Valori input_1_20'!$B$18</f>
        <v>1.0122423021887985E-2</v>
      </c>
      <c r="J5" s="1">
        <f>'Valori input_1_20'!I6*'Valori input_1_20'!$B$18</f>
        <v>4.7356314927014219E-3</v>
      </c>
      <c r="K5" s="1">
        <f>'Valori input_1_20'!J6*'Valori input_1_20'!$B$18</f>
        <v>1.9237891444796557E-2</v>
      </c>
      <c r="L5" s="1">
        <f>'Valori input_1_20'!K6*'Valori input_1_20'!$B$18</f>
        <v>2.2025802237282992E-2</v>
      </c>
      <c r="M5" s="7">
        <f>'Valori input_1_20'!L6*'Valori input_1_20'!$B$18</f>
        <v>1.7494775163487387E-2</v>
      </c>
      <c r="N5" s="1">
        <f>'Valori input_1_20'!M6*'Valori input_1_20'!$B$18</f>
        <v>1.5382073068290366E-2</v>
      </c>
      <c r="O5" s="1">
        <f>'Valori input_1_20'!N6*'Valori input_1_20'!$B$18</f>
        <v>0</v>
      </c>
      <c r="P5" s="1">
        <f>'Valori input_1_20'!O6*'Valori input_1_20'!$B$18</f>
        <v>0</v>
      </c>
      <c r="Q5" s="1">
        <f>'Valori input_1_20'!P6*'Valori input_1_20'!$B$18</f>
        <v>0</v>
      </c>
      <c r="R5" s="1">
        <f>'Valori input_1_20'!Q6*'Valori input_1_20'!$B$18</f>
        <v>0</v>
      </c>
      <c r="S5" s="1">
        <f>'Valori input_1_20'!R6*'Valori input_1_20'!$B$18</f>
        <v>0</v>
      </c>
      <c r="T5" s="1">
        <f>'Valori input_1_20'!S6*'Valori input_1_20'!$B$18</f>
        <v>0</v>
      </c>
      <c r="U5" s="1">
        <f>'Valori input_1_20'!T6*'Valori input_1_20'!$B$18</f>
        <v>0</v>
      </c>
      <c r="V5" s="1">
        <f>'Valori input_1_20'!U6*'Valori input_1_20'!$B$18</f>
        <v>0</v>
      </c>
      <c r="W5" s="1">
        <f>'Valori input_1_20'!V6*'Valori input_1_20'!$B$18</f>
        <v>0</v>
      </c>
      <c r="X5" s="1">
        <f>'Valori input_1_20'!W6*'Valori input_1_20'!$B$18</f>
        <v>0</v>
      </c>
      <c r="Y5" s="1">
        <f>'Valori input_1_20'!X6*'Valori input_1_20'!$B$18</f>
        <v>0</v>
      </c>
    </row>
    <row r="6" spans="1:25" x14ac:dyDescent="0.3">
      <c r="B6">
        <v>20</v>
      </c>
      <c r="C6" s="1">
        <f>'Valori input_1_20'!B7*'Valori input_1_20'!$B$18</f>
        <v>9.699130965575975E-2</v>
      </c>
      <c r="D6" s="1">
        <f>'Valori input_1_20'!C7*'Valori input_1_20'!$B$18</f>
        <v>0.12235387832321078</v>
      </c>
      <c r="E6" s="1">
        <f>'Valori input_1_20'!D7*'Valori input_1_20'!$B$18</f>
        <v>6.5001908180421258E-2</v>
      </c>
      <c r="F6" s="1">
        <f>'Valori input_1_20'!E7*'Valori input_1_20'!$B$18</f>
        <v>6.9146119832286884E-2</v>
      </c>
      <c r="G6" s="1">
        <f>'Valori input_1_20'!F7*'Valori input_1_20'!$B$18</f>
        <v>5.160540587070693E-2</v>
      </c>
      <c r="H6" s="1">
        <f>'Valori input_1_20'!G7*'Valori input_1_20'!$B$18</f>
        <v>6.9347898047004503E-2</v>
      </c>
      <c r="I6" s="1">
        <f>'Valori input_1_20'!H7*'Valori input_1_20'!$B$18</f>
        <v>1.7383009168477851E-2</v>
      </c>
      <c r="J6" s="1">
        <f>'Valori input_1_20'!I7*'Valori input_1_20'!$B$18</f>
        <v>7.561976637551775E-3</v>
      </c>
      <c r="K6" s="1">
        <f>'Valori input_1_20'!J7*'Valori input_1_20'!$B$18</f>
        <v>2.981358791819292E-2</v>
      </c>
      <c r="L6" s="1">
        <f>'Valori input_1_20'!K7*'Valori input_1_20'!$B$18</f>
        <v>3.2130317628807421E-2</v>
      </c>
      <c r="M6" s="7">
        <f>'Valori input_1_20'!L7*'Valori input_1_20'!$B$18</f>
        <v>2.7877030944515928E-2</v>
      </c>
      <c r="N6" s="1">
        <f>'Valori input_1_20'!M7*'Valori input_1_20'!$B$18</f>
        <v>2.7651927234670099E-2</v>
      </c>
      <c r="O6" s="1">
        <f>'Valori input_1_20'!N7*'Valori input_1_20'!$B$18</f>
        <v>0</v>
      </c>
      <c r="P6" s="1">
        <f>'Valori input_1_20'!O7*'Valori input_1_20'!$B$18</f>
        <v>0</v>
      </c>
      <c r="Q6" s="1">
        <f>'Valori input_1_20'!P7*'Valori input_1_20'!$B$18</f>
        <v>0</v>
      </c>
      <c r="R6" s="1">
        <f>'Valori input_1_20'!Q7*'Valori input_1_20'!$B$18</f>
        <v>0</v>
      </c>
      <c r="S6" s="1">
        <f>'Valori input_1_20'!R7*'Valori input_1_20'!$B$18</f>
        <v>0</v>
      </c>
      <c r="T6" s="1">
        <f>'Valori input_1_20'!S7*'Valori input_1_20'!$B$18</f>
        <v>0</v>
      </c>
      <c r="U6" s="1">
        <f>'Valori input_1_20'!T7*'Valori input_1_20'!$B$18</f>
        <v>0</v>
      </c>
      <c r="V6" s="1">
        <f>'Valori input_1_20'!U7*'Valori input_1_20'!$B$18</f>
        <v>0</v>
      </c>
      <c r="W6" s="1">
        <f>'Valori input_1_20'!V7*'Valori input_1_20'!$B$18</f>
        <v>0</v>
      </c>
      <c r="X6" s="1">
        <f>'Valori input_1_20'!W7*'Valori input_1_20'!$B$18</f>
        <v>0</v>
      </c>
      <c r="Y6" s="1">
        <f>'Valori input_1_20'!X7*'Valori input_1_20'!$B$18</f>
        <v>0</v>
      </c>
    </row>
    <row r="7" spans="1:25" x14ac:dyDescent="0.3">
      <c r="B7">
        <v>30</v>
      </c>
      <c r="C7" s="1">
        <f>'Valori input_1_20'!B8*'Valori input_1_20'!$B$18</f>
        <v>0.1180184087513859</v>
      </c>
      <c r="D7" s="1">
        <f>'Valori input_1_20'!C8*'Valori input_1_20'!$B$18</f>
        <v>0.18247535596933234</v>
      </c>
      <c r="E7" s="1">
        <f>'Valori input_1_20'!D8*'Valori input_1_20'!$B$18</f>
        <v>9.3232663923012771E-2</v>
      </c>
      <c r="F7" s="1">
        <f>'Valori input_1_20'!E8*'Valori input_1_20'!$B$18</f>
        <v>9.8395844363990681E-2</v>
      </c>
      <c r="G7" s="1">
        <f>'Valori input_1_20'!F8*'Valori input_1_20'!$B$18</f>
        <v>7.4574617658029932E-2</v>
      </c>
      <c r="H7" s="1">
        <f>'Valori input_1_20'!G8*'Valori input_1_20'!$B$18</f>
        <v>9.5642999006951598E-2</v>
      </c>
      <c r="I7" s="1">
        <f>'Valori input_1_20'!H8*'Valori input_1_20'!$B$18</f>
        <v>2.3654318370519723E-2</v>
      </c>
      <c r="J7" s="1">
        <f>'Valori input_1_20'!I8*'Valori input_1_20'!$B$18</f>
        <v>9.8471067546646671E-3</v>
      </c>
      <c r="K7" s="1">
        <f>'Valori input_1_20'!J8*'Valori input_1_20'!$B$18</f>
        <v>3.9093041438624278E-2</v>
      </c>
      <c r="L7" s="1">
        <f>'Valori input_1_20'!K8*'Valori input_1_20'!$B$18</f>
        <v>4.1050869600718923E-2</v>
      </c>
      <c r="M7" s="7">
        <f>'Valori input_1_20'!L8*'Valori input_1_20'!$B$18</f>
        <v>3.7248028045574477E-2</v>
      </c>
      <c r="N7" s="1">
        <f>'Valori input_1_20'!M8*'Valori input_1_20'!$B$18</f>
        <v>3.4303262321495553E-2</v>
      </c>
      <c r="O7" s="1">
        <f>'Valori input_1_20'!N8*'Valori input_1_20'!$B$18</f>
        <v>0</v>
      </c>
      <c r="P7" s="1">
        <f>'Valori input_1_20'!O8*'Valori input_1_20'!$B$18</f>
        <v>0</v>
      </c>
      <c r="Q7" s="1">
        <f>'Valori input_1_20'!P8*'Valori input_1_20'!$B$18</f>
        <v>0</v>
      </c>
      <c r="R7" s="1">
        <f>'Valori input_1_20'!Q8*'Valori input_1_20'!$B$18</f>
        <v>0</v>
      </c>
      <c r="S7" s="1">
        <f>'Valori input_1_20'!R8*'Valori input_1_20'!$B$18</f>
        <v>0</v>
      </c>
      <c r="T7" s="1">
        <f>'Valori input_1_20'!S8*'Valori input_1_20'!$B$18</f>
        <v>0</v>
      </c>
      <c r="U7" s="1">
        <f>'Valori input_1_20'!T8*'Valori input_1_20'!$B$18</f>
        <v>0</v>
      </c>
      <c r="V7" s="1">
        <f>'Valori input_1_20'!U8*'Valori input_1_20'!$B$18</f>
        <v>0</v>
      </c>
      <c r="W7" s="1">
        <f>'Valori input_1_20'!V8*'Valori input_1_20'!$B$18</f>
        <v>0</v>
      </c>
      <c r="X7" s="1">
        <f>'Valori input_1_20'!W8*'Valori input_1_20'!$B$18</f>
        <v>0</v>
      </c>
      <c r="Y7" s="1">
        <f>'Valori input_1_20'!X8*'Valori input_1_20'!$B$18</f>
        <v>0</v>
      </c>
    </row>
    <row r="8" spans="1:25" x14ac:dyDescent="0.3">
      <c r="B8">
        <v>40</v>
      </c>
      <c r="C8" s="1">
        <f>'Valori input_1_20'!B9*'Valori input_1_20'!$B$18</f>
        <v>0.13331084445729544</v>
      </c>
      <c r="D8" s="1">
        <f>'Valori input_1_20'!C9*'Valori input_1_20'!$B$18</f>
        <v>0.25956387533605546</v>
      </c>
      <c r="E8" s="1">
        <f>'Valori input_1_20'!D9*'Valori input_1_20'!$B$18</f>
        <v>0.12639374529401448</v>
      </c>
      <c r="F8" s="1">
        <f>'Valori input_1_20'!E9*'Valori input_1_20'!$B$18</f>
        <v>0.12554199281635961</v>
      </c>
      <c r="G8" s="1">
        <f>'Valori input_1_20'!F9*'Valori input_1_20'!$B$18</f>
        <v>9.4803592436372042E-2</v>
      </c>
      <c r="H8" s="1">
        <f>'Valori input_1_20'!G9*'Valori input_1_20'!$B$18</f>
        <v>0.12305527970870599</v>
      </c>
      <c r="I8" s="1">
        <f>'Valori input_1_20'!H9*'Valori input_1_20'!$B$18</f>
        <v>2.9907961912837747E-2</v>
      </c>
      <c r="J8" s="1">
        <f>'Valori input_1_20'!I9*'Valori input_1_20'!$B$18</f>
        <v>1.2057068117924886E-2</v>
      </c>
      <c r="K8" s="1">
        <f>'Valori input_1_20'!J9*'Valori input_1_20'!$B$18</f>
        <v>4.8475371383893795E-2</v>
      </c>
      <c r="L8" s="1">
        <f>'Valori input_1_20'!K9*'Valori input_1_20'!$B$18</f>
        <v>4.9828529435780589E-2</v>
      </c>
      <c r="M8" s="7">
        <f>'Valori input_1_20'!L9*'Valori input_1_20'!$B$18</f>
        <v>4.6147104429313392E-2</v>
      </c>
      <c r="N8" s="1">
        <f>'Valori input_1_20'!M9*'Valori input_1_20'!$B$18</f>
        <v>4.4314692151975831E-2</v>
      </c>
      <c r="O8" s="1">
        <f>'Valori input_1_20'!N9*'Valori input_1_20'!$B$18</f>
        <v>0</v>
      </c>
      <c r="P8" s="1">
        <f>'Valori input_1_20'!O9*'Valori input_1_20'!$B$18</f>
        <v>0</v>
      </c>
      <c r="Q8" s="1">
        <f>'Valori input_1_20'!P9*'Valori input_1_20'!$B$18</f>
        <v>0</v>
      </c>
      <c r="R8" s="1">
        <f>'Valori input_1_20'!Q9*'Valori input_1_20'!$B$18</f>
        <v>0</v>
      </c>
      <c r="S8" s="1">
        <f>'Valori input_1_20'!R9*'Valori input_1_20'!$B$18</f>
        <v>0</v>
      </c>
      <c r="T8" s="1">
        <f>'Valori input_1_20'!S9*'Valori input_1_20'!$B$18</f>
        <v>0</v>
      </c>
      <c r="U8" s="1">
        <f>'Valori input_1_20'!T9*'Valori input_1_20'!$B$18</f>
        <v>0</v>
      </c>
      <c r="V8" s="1">
        <f>'Valori input_1_20'!U9*'Valori input_1_20'!$B$18</f>
        <v>0</v>
      </c>
      <c r="W8" s="1">
        <f>'Valori input_1_20'!V9*'Valori input_1_20'!$B$18</f>
        <v>0</v>
      </c>
      <c r="X8" s="1">
        <f>'Valori input_1_20'!W9*'Valori input_1_20'!$B$18</f>
        <v>0</v>
      </c>
      <c r="Y8" s="1">
        <f>'Valori input_1_20'!X9*'Valori input_1_20'!$B$18</f>
        <v>0</v>
      </c>
    </row>
    <row r="9" spans="1:25" x14ac:dyDescent="0.3">
      <c r="B9">
        <v>50</v>
      </c>
      <c r="C9" s="1">
        <f>'Valori input_1_20'!B10*'Valori input_1_20'!$B$18</f>
        <v>0.15629768846481326</v>
      </c>
      <c r="D9" s="1">
        <f>'Valori input_1_20'!C10*'Valori input_1_20'!$B$18</f>
        <v>0.32912476351687764</v>
      </c>
      <c r="E9" s="1">
        <f>'Valori input_1_20'!D10*'Valori input_1_20'!$B$18</f>
        <v>0.17121019896648823</v>
      </c>
      <c r="F9" s="1">
        <f>'Valori input_1_20'!E10*'Valori input_1_20'!$B$18</f>
        <v>0.16588199939897855</v>
      </c>
      <c r="G9" s="1">
        <f>'Valori input_1_20'!F10*'Valori input_1_20'!$B$18</f>
        <v>0.11595076181458232</v>
      </c>
      <c r="H9" s="1">
        <f>'Valori input_1_20'!G10*'Valori input_1_20'!$B$18</f>
        <v>0.15508109897384981</v>
      </c>
      <c r="I9" s="1">
        <f>'Valori input_1_20'!H10*'Valori input_1_20'!$B$18</f>
        <v>4.0666348684792006E-2</v>
      </c>
      <c r="J9" s="1">
        <f>'Valori input_1_20'!I10*'Valori input_1_20'!$B$18</f>
        <v>1.5244223281266765E-2</v>
      </c>
      <c r="K9" s="1">
        <f>'Valori input_1_20'!J10*'Valori input_1_20'!$B$18</f>
        <v>5.9133368997160637E-2</v>
      </c>
      <c r="L9" s="1">
        <f>'Valori input_1_20'!K10*'Valori input_1_20'!$B$18</f>
        <v>5.9606434228791055E-2</v>
      </c>
      <c r="M9" s="7">
        <f>'Valori input_1_20'!L10*'Valori input_1_20'!$B$18</f>
        <v>5.5888896379694443E-2</v>
      </c>
      <c r="N9" s="1">
        <f>'Valori input_1_20'!M10*'Valori input_1_20'!$B$18</f>
        <v>5.4298580222262409E-2</v>
      </c>
      <c r="O9" s="1">
        <f>'Valori input_1_20'!N10*'Valori input_1_20'!$B$18</f>
        <v>0</v>
      </c>
      <c r="P9" s="1">
        <f>'Valori input_1_20'!O10*'Valori input_1_20'!$B$18</f>
        <v>0</v>
      </c>
      <c r="Q9" s="1">
        <f>'Valori input_1_20'!P10*'Valori input_1_20'!$B$18</f>
        <v>0</v>
      </c>
      <c r="R9" s="1">
        <f>'Valori input_1_20'!Q10*'Valori input_1_20'!$B$18</f>
        <v>0</v>
      </c>
      <c r="S9" s="1">
        <f>'Valori input_1_20'!R10*'Valori input_1_20'!$B$18</f>
        <v>0</v>
      </c>
      <c r="T9" s="1">
        <f>'Valori input_1_20'!S10*'Valori input_1_20'!$B$18</f>
        <v>0</v>
      </c>
      <c r="U9" s="1">
        <f>'Valori input_1_20'!T10*'Valori input_1_20'!$B$18</f>
        <v>0</v>
      </c>
      <c r="V9" s="1">
        <f>'Valori input_1_20'!U10*'Valori input_1_20'!$B$18</f>
        <v>0</v>
      </c>
      <c r="W9" s="1">
        <f>'Valori input_1_20'!V10*'Valori input_1_20'!$B$18</f>
        <v>0</v>
      </c>
      <c r="X9" s="1">
        <f>'Valori input_1_20'!W10*'Valori input_1_20'!$B$18</f>
        <v>0</v>
      </c>
      <c r="Y9" s="1">
        <f>'Valori input_1_20'!X10*'Valori input_1_20'!$B$18</f>
        <v>0</v>
      </c>
    </row>
    <row r="10" spans="1:25" x14ac:dyDescent="0.3">
      <c r="B10">
        <v>60</v>
      </c>
      <c r="C10" s="1">
        <f>'Valori input_1_20'!B11*'Valori input_1_20'!$B$18</f>
        <v>0.22511364914140722</v>
      </c>
      <c r="D10" s="1">
        <f>'Valori input_1_20'!C11*'Valori input_1_20'!$B$18</f>
        <v>0.41646918251518494</v>
      </c>
      <c r="E10" s="1">
        <f>'Valori input_1_20'!D11*'Valori input_1_20'!$B$18</f>
        <v>0.26637167228806308</v>
      </c>
      <c r="F10" s="1">
        <f>'Valori input_1_20'!E11*'Valori input_1_20'!$B$18</f>
        <v>0.32855854953420854</v>
      </c>
      <c r="G10" s="1">
        <f>'Valori input_1_20'!F11*'Valori input_1_20'!$B$18</f>
        <v>0.1417032509827553</v>
      </c>
      <c r="H10" s="1">
        <f>'Valori input_1_20'!G11*'Valori input_1_20'!$B$18</f>
        <v>0.1982373386295932</v>
      </c>
      <c r="I10" s="1">
        <f>'Valori input_1_20'!H11*'Valori input_1_20'!$B$18</f>
        <v>5.0841768685851926E-2</v>
      </c>
      <c r="J10" s="1">
        <f>'Valori input_1_20'!I11*'Valori input_1_20'!$B$18</f>
        <v>1.9438639746230384E-2</v>
      </c>
      <c r="K10" s="1">
        <f>'Valori input_1_20'!J11*'Valori input_1_20'!$B$18</f>
        <v>7.2877659355582228E-2</v>
      </c>
      <c r="L10" s="1">
        <f>'Valori input_1_20'!K11*'Valori input_1_20'!$B$18</f>
        <v>7.3589450477668378E-2</v>
      </c>
      <c r="M10" s="1">
        <f>'Valori input_1_20'!L11*'Valori input_1_20'!$B$18</f>
        <v>6.9102676464639828E-2</v>
      </c>
      <c r="N10" s="1">
        <f>'Valori input_1_20'!M11*'Valori input_1_20'!$B$18</f>
        <v>6.8744233443959982E-2</v>
      </c>
      <c r="O10" s="1">
        <f>'Valori input_1_20'!N11*'Valori input_1_20'!$B$18</f>
        <v>0</v>
      </c>
      <c r="P10" s="1">
        <f>'Valori input_1_20'!O11*'Valori input_1_20'!$B$18</f>
        <v>0</v>
      </c>
      <c r="Q10" s="1">
        <f>'Valori input_1_20'!P11*'Valori input_1_20'!$B$18</f>
        <v>0</v>
      </c>
      <c r="R10" s="1">
        <f>'Valori input_1_20'!Q11*'Valori input_1_20'!$B$18</f>
        <v>0</v>
      </c>
      <c r="S10" s="1">
        <f>'Valori input_1_20'!R11*'Valori input_1_20'!$B$18</f>
        <v>0</v>
      </c>
      <c r="T10" s="1">
        <f>'Valori input_1_20'!S11*'Valori input_1_20'!$B$18</f>
        <v>0</v>
      </c>
      <c r="U10" s="1">
        <f>'Valori input_1_20'!T11*'Valori input_1_20'!$B$18</f>
        <v>0</v>
      </c>
      <c r="V10" s="1">
        <f>'Valori input_1_20'!U11*'Valori input_1_20'!$B$18</f>
        <v>0</v>
      </c>
      <c r="W10" s="1">
        <f>'Valori input_1_20'!V11*'Valori input_1_20'!$B$18</f>
        <v>0</v>
      </c>
      <c r="X10" s="1">
        <f>'Valori input_1_20'!W11*'Valori input_1_20'!$B$18</f>
        <v>0</v>
      </c>
      <c r="Y10" s="1">
        <f>'Valori input_1_20'!X11*'Valori input_1_20'!$B$18</f>
        <v>0</v>
      </c>
    </row>
    <row r="11" spans="1:25" x14ac:dyDescent="0.3">
      <c r="B11">
        <v>70</v>
      </c>
      <c r="C11" s="1">
        <f>'Valori input_1_20'!B12*'Valori input_1_20'!$B$18</f>
        <v>0.26649318105151598</v>
      </c>
      <c r="D11" s="1">
        <f>'Valori input_1_20'!C12*'Valori input_1_20'!$B$18</f>
        <v>0.53912177636164527</v>
      </c>
      <c r="E11" s="1">
        <f>'Valori input_1_20'!D12*'Valori input_1_20'!$B$18</f>
        <v>0.35832533960454255</v>
      </c>
      <c r="F11" s="1">
        <f>'Valori input_1_20'!E12*'Valori input_1_20'!$B$18</f>
        <v>0.42572373034158117</v>
      </c>
      <c r="G11" s="1">
        <f>'Valori input_1_20'!F12*'Valori input_1_20'!$B$18</f>
        <v>0.18325155662678294</v>
      </c>
      <c r="H11" s="1">
        <f>'Valori input_1_20'!G12*'Valori input_1_20'!$B$18</f>
        <v>0.26770936775902038</v>
      </c>
      <c r="I11" s="1">
        <f>'Valori input_1_20'!H12*'Valori input_1_20'!$B$18</f>
        <v>0.11403183351882287</v>
      </c>
      <c r="J11" s="1">
        <f>'Valori input_1_20'!I12*'Valori input_1_20'!$B$18</f>
        <v>3.2427800411925188E-2</v>
      </c>
      <c r="K11" s="1">
        <f>'Valori input_1_20'!J12*'Valori input_1_20'!$B$18</f>
        <v>9.3802724167729806E-2</v>
      </c>
      <c r="L11" s="1">
        <f>'Valori input_1_20'!K12*'Valori input_1_20'!$B$18</f>
        <v>9.5370294766065455E-2</v>
      </c>
      <c r="M11" s="1">
        <f>'Valori input_1_20'!L12*'Valori input_1_20'!$B$18</f>
        <v>8.609182228814137E-2</v>
      </c>
      <c r="N11" s="1">
        <f>'Valori input_1_20'!M12*'Valori input_1_20'!$B$18</f>
        <v>9.8585730614043909E-2</v>
      </c>
      <c r="O11" s="1">
        <f>'Valori input_1_20'!N12*'Valori input_1_20'!$B$18</f>
        <v>0</v>
      </c>
      <c r="P11" s="1">
        <f>'Valori input_1_20'!O12*'Valori input_1_20'!$B$18</f>
        <v>0</v>
      </c>
      <c r="Q11" s="1">
        <f>'Valori input_1_20'!P12*'Valori input_1_20'!$B$18</f>
        <v>0</v>
      </c>
      <c r="R11" s="1">
        <f>'Valori input_1_20'!Q12*'Valori input_1_20'!$B$18</f>
        <v>0</v>
      </c>
      <c r="S11" s="1">
        <f>'Valori input_1_20'!R12*'Valori input_1_20'!$B$18</f>
        <v>0</v>
      </c>
      <c r="T11" s="1">
        <f>'Valori input_1_20'!S12*'Valori input_1_20'!$B$18</f>
        <v>0</v>
      </c>
      <c r="U11" s="1">
        <f>'Valori input_1_20'!T12*'Valori input_1_20'!$B$18</f>
        <v>0</v>
      </c>
      <c r="V11" s="1">
        <f>'Valori input_1_20'!U12*'Valori input_1_20'!$B$18</f>
        <v>0</v>
      </c>
      <c r="W11" s="1">
        <f>'Valori input_1_20'!V12*'Valori input_1_20'!$B$18</f>
        <v>0</v>
      </c>
      <c r="X11" s="1">
        <f>'Valori input_1_20'!W12*'Valori input_1_20'!$B$18</f>
        <v>0</v>
      </c>
      <c r="Y11" s="1">
        <f>'Valori input_1_20'!X12*'Valori input_1_20'!$B$18</f>
        <v>0</v>
      </c>
    </row>
    <row r="12" spans="1:25" x14ac:dyDescent="0.3">
      <c r="B12">
        <v>80</v>
      </c>
      <c r="C12" s="1">
        <f>'Valori input_1_20'!B13*'Valori input_1_20'!$B$18</f>
        <v>0.33026520810242121</v>
      </c>
      <c r="D12" s="1">
        <f>'Valori input_1_20'!C13*'Valori input_1_20'!$B$18</f>
        <v>0.74418002588867904</v>
      </c>
      <c r="E12" s="1">
        <f>'Valori input_1_20'!D13*'Valori input_1_20'!$B$18</f>
        <v>0.48149064991593704</v>
      </c>
      <c r="F12" s="1">
        <f>'Valori input_1_20'!E13*'Valori input_1_20'!$B$18</f>
        <v>0.56133999227257803</v>
      </c>
      <c r="G12" s="1">
        <f>'Valori input_1_20'!F13*'Valori input_1_20'!$B$18</f>
        <v>0.2661616596367396</v>
      </c>
      <c r="H12" s="1">
        <f>'Valori input_1_20'!G13*'Valori input_1_20'!$B$18</f>
        <v>0.39202664680569349</v>
      </c>
      <c r="I12" s="1">
        <f>'Valori input_1_20'!H13*'Valori input_1_20'!$B$18</f>
        <v>0.20213047856272204</v>
      </c>
      <c r="J12" s="1">
        <f>'Valori input_1_20'!I13*'Valori input_1_20'!$B$18</f>
        <v>7.2567914969105959E-2</v>
      </c>
      <c r="K12" s="1">
        <f>'Valori input_1_20'!J13*'Valori input_1_20'!$B$18</f>
        <v>0.13092053824945499</v>
      </c>
      <c r="L12" s="1">
        <f>'Valori input_1_20'!K13*'Valori input_1_20'!$B$18</f>
        <v>0.13333877684330891</v>
      </c>
      <c r="M12" s="1">
        <f>'Valori input_1_20'!L13*'Valori input_1_20'!$B$18</f>
        <v>0.11514865502595591</v>
      </c>
      <c r="N12" s="1">
        <f>'Valori input_1_20'!M13*'Valori input_1_20'!$B$18</f>
        <v>0.23774047399369341</v>
      </c>
      <c r="O12" s="1">
        <f>'Valori input_1_20'!N13*'Valori input_1_20'!$B$18</f>
        <v>0</v>
      </c>
      <c r="P12" s="1">
        <f>'Valori input_1_20'!O13*'Valori input_1_20'!$B$18</f>
        <v>0</v>
      </c>
      <c r="Q12" s="1">
        <f>'Valori input_1_20'!P13*'Valori input_1_20'!$B$18</f>
        <v>0</v>
      </c>
      <c r="R12" s="1">
        <f>'Valori input_1_20'!Q13*'Valori input_1_20'!$B$18</f>
        <v>0</v>
      </c>
      <c r="S12" s="1">
        <f>'Valori input_1_20'!R13*'Valori input_1_20'!$B$18</f>
        <v>0</v>
      </c>
      <c r="T12" s="1">
        <f>'Valori input_1_20'!S13*'Valori input_1_20'!$B$18</f>
        <v>0</v>
      </c>
      <c r="U12" s="1">
        <f>'Valori input_1_20'!T13*'Valori input_1_20'!$B$18</f>
        <v>0</v>
      </c>
      <c r="V12" s="1">
        <f>'Valori input_1_20'!U13*'Valori input_1_20'!$B$18</f>
        <v>0</v>
      </c>
      <c r="W12" s="1">
        <f>'Valori input_1_20'!V13*'Valori input_1_20'!$B$18</f>
        <v>0</v>
      </c>
      <c r="X12" s="1">
        <f>'Valori input_1_20'!W13*'Valori input_1_20'!$B$18</f>
        <v>0</v>
      </c>
      <c r="Y12" s="1">
        <f>'Valori input_1_20'!X13*'Valori input_1_20'!$B$18</f>
        <v>0</v>
      </c>
    </row>
    <row r="13" spans="1:25" x14ac:dyDescent="0.3">
      <c r="B13">
        <v>90</v>
      </c>
      <c r="C13" s="1">
        <f>'Valori input_1_20'!B14*'Valori input_1_20'!$B$18</f>
        <v>0.46666024127351352</v>
      </c>
      <c r="D13" s="1">
        <f>'Valori input_1_20'!C14*'Valori input_1_20'!$B$18</f>
        <v>1.0937767599322901</v>
      </c>
      <c r="E13" s="1">
        <f>'Valori input_1_20'!D14*'Valori input_1_20'!$B$18</f>
        <v>0.67504203154170694</v>
      </c>
      <c r="F13" s="1">
        <f>'Valori input_1_20'!E14*'Valori input_1_20'!$B$18</f>
        <v>0.78899844020549315</v>
      </c>
      <c r="G13" s="1">
        <f>'Valori input_1_20'!F14*'Valori input_1_20'!$B$18</f>
        <v>0.40591374709477523</v>
      </c>
      <c r="H13" s="1">
        <f>'Valori input_1_20'!G14*'Valori input_1_20'!$B$18</f>
        <v>0.61316617014233699</v>
      </c>
      <c r="I13" s="1">
        <f>'Valori input_1_20'!H14*'Valori input_1_20'!$B$18</f>
        <v>0.23145547370466563</v>
      </c>
      <c r="J13" s="1">
        <f>'Valori input_1_20'!I14*'Valori input_1_20'!$B$18</f>
        <v>8.9931897109009978E-2</v>
      </c>
      <c r="K13" s="1">
        <f>'Valori input_1_20'!J14*'Valori input_1_20'!$B$18</f>
        <v>0.18894284185836005</v>
      </c>
      <c r="L13" s="1">
        <f>'Valori input_1_20'!K14*'Valori input_1_20'!$B$18</f>
        <v>0.18545358046868674</v>
      </c>
      <c r="M13" s="1">
        <f>'Valori input_1_20'!L14*'Valori input_1_20'!$B$18</f>
        <v>0.16314973370188143</v>
      </c>
      <c r="N13" s="1">
        <f>'Valori input_1_20'!M14*'Valori input_1_20'!$B$18</f>
        <v>0.5874519740556623</v>
      </c>
      <c r="O13" s="1">
        <f>'Valori input_1_20'!N14*'Valori input_1_20'!$B$18</f>
        <v>0</v>
      </c>
      <c r="P13" s="1">
        <f>'Valori input_1_20'!O14*'Valori input_1_20'!$B$18</f>
        <v>0</v>
      </c>
      <c r="Q13" s="1">
        <f>'Valori input_1_20'!P14*'Valori input_1_20'!$B$18</f>
        <v>0</v>
      </c>
      <c r="R13" s="1">
        <f>'Valori input_1_20'!Q14*'Valori input_1_20'!$B$18</f>
        <v>0</v>
      </c>
      <c r="S13" s="1">
        <f>'Valori input_1_20'!R14*'Valori input_1_20'!$B$18</f>
        <v>0</v>
      </c>
      <c r="T13" s="1">
        <f>'Valori input_1_20'!S14*'Valori input_1_20'!$B$18</f>
        <v>0</v>
      </c>
      <c r="U13" s="1">
        <f>'Valori input_1_20'!T14*'Valori input_1_20'!$B$18</f>
        <v>0</v>
      </c>
      <c r="V13" s="1">
        <f>'Valori input_1_20'!U14*'Valori input_1_20'!$B$18</f>
        <v>0</v>
      </c>
      <c r="W13" s="1">
        <f>'Valori input_1_20'!V14*'Valori input_1_20'!$B$18</f>
        <v>0</v>
      </c>
      <c r="X13" s="1">
        <f>'Valori input_1_20'!W14*'Valori input_1_20'!$B$18</f>
        <v>0</v>
      </c>
      <c r="Y13" s="1">
        <f>'Valori input_1_20'!X14*'Valori input_1_20'!$B$18</f>
        <v>0</v>
      </c>
    </row>
    <row r="14" spans="1:25" x14ac:dyDescent="0.3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6" spans="1:25" x14ac:dyDescent="0.3">
      <c r="A16" t="s">
        <v>15</v>
      </c>
      <c r="C16" s="8">
        <v>7.2473782186839336E-2</v>
      </c>
      <c r="D16" s="8">
        <v>8.8502313313583256E-2</v>
      </c>
      <c r="E16" s="8">
        <v>4.9251388933625941E-2</v>
      </c>
      <c r="F16" s="8">
        <v>5.6522357944452303E-2</v>
      </c>
      <c r="G16" s="8">
        <v>4.1005279650021161E-2</v>
      </c>
      <c r="H16" s="8">
        <v>4.0885222765060854E-2</v>
      </c>
      <c r="I16" s="8">
        <v>1.3066722469429684E-2</v>
      </c>
      <c r="J16" s="8">
        <v>6.0277733107329222E-3</v>
      </c>
      <c r="K16" s="8">
        <v>2.4328000542772867E-2</v>
      </c>
      <c r="L16" s="8">
        <v>2.6910764956425335E-2</v>
      </c>
      <c r="M16" s="8">
        <v>2.2543194503076163E-2</v>
      </c>
      <c r="N16" s="8">
        <v>2.0960958500551328E-2</v>
      </c>
      <c r="P16" t="s">
        <v>16</v>
      </c>
      <c r="Q16">
        <v>12.282</v>
      </c>
      <c r="R16" t="s">
        <v>17</v>
      </c>
    </row>
    <row r="17" spans="1:18" x14ac:dyDescent="0.3">
      <c r="A17" t="s">
        <v>18</v>
      </c>
      <c r="C17" s="8">
        <v>1.3810889546571555E-2</v>
      </c>
      <c r="D17" s="8">
        <v>1.960981082433013E-2</v>
      </c>
      <c r="E17" s="8">
        <v>1.653722610034283E-2</v>
      </c>
      <c r="F17" s="8">
        <v>2.2953084907857704E-2</v>
      </c>
      <c r="G17" s="8">
        <v>1.2872283068090511E-2</v>
      </c>
      <c r="H17" s="8">
        <v>2.4178390999416693E-3</v>
      </c>
      <c r="I17" s="8">
        <v>4.1672640040217512E-3</v>
      </c>
      <c r="J17" s="8">
        <v>2.4687955494040168E-3</v>
      </c>
      <c r="K17" s="8">
        <v>9.6374531116812327E-3</v>
      </c>
      <c r="L17" s="8">
        <v>1.2403682161640677E-2</v>
      </c>
      <c r="M17" s="8">
        <v>8.7095276026206304E-3</v>
      </c>
      <c r="N17" s="8">
        <v>7.9844981116088971E-3</v>
      </c>
      <c r="P17" t="s">
        <v>19</v>
      </c>
      <c r="Q17" s="8">
        <v>42.47</v>
      </c>
      <c r="R17" t="s">
        <v>17</v>
      </c>
    </row>
    <row r="18" spans="1:18" x14ac:dyDescent="0.3">
      <c r="A18" t="s">
        <v>20</v>
      </c>
      <c r="C18" s="8">
        <v>5.8662892640267777E-2</v>
      </c>
      <c r="D18" s="8">
        <v>6.8892502489253132E-2</v>
      </c>
      <c r="E18" s="8">
        <v>3.2714162833283114E-2</v>
      </c>
      <c r="F18" s="8">
        <v>3.3569273036594599E-2</v>
      </c>
      <c r="G18" s="8">
        <v>2.813299658193065E-2</v>
      </c>
      <c r="H18" s="8">
        <v>3.8467383665119183E-2</v>
      </c>
      <c r="I18" s="8">
        <v>8.8994584654079334E-3</v>
      </c>
      <c r="J18" s="8">
        <v>3.5589777613289054E-3</v>
      </c>
      <c r="K18" s="8">
        <v>1.4690547431091635E-2</v>
      </c>
      <c r="L18" s="8">
        <v>1.4507082794784657E-2</v>
      </c>
      <c r="M18" s="8">
        <v>1.3833666900455533E-2</v>
      </c>
      <c r="N18" s="8">
        <v>1.2976460388942431E-2</v>
      </c>
    </row>
    <row r="19" spans="1:18" x14ac:dyDescent="0.3">
      <c r="A19" t="s">
        <v>21</v>
      </c>
      <c r="C19" s="8">
        <v>48.879808644156888</v>
      </c>
      <c r="D19" s="8">
        <v>48.788196812003072</v>
      </c>
      <c r="E19" s="8">
        <v>48.829662664077773</v>
      </c>
      <c r="F19" s="8">
        <v>48.863978454488617</v>
      </c>
      <c r="G19" s="8">
        <v>48.855608889234134</v>
      </c>
      <c r="H19" s="8">
        <v>48.666652003590066</v>
      </c>
      <c r="I19" s="8">
        <v>48.84580074326999</v>
      </c>
      <c r="J19" s="8">
        <v>48.891071141628501</v>
      </c>
      <c r="K19" s="8">
        <v>48.897420023136128</v>
      </c>
      <c r="L19" s="8">
        <v>48.918077595123037</v>
      </c>
      <c r="M19" s="8">
        <v>48.890914920448765</v>
      </c>
      <c r="N19" s="8">
        <v>48.882160822805133</v>
      </c>
    </row>
    <row r="20" spans="1:18" x14ac:dyDescent="0.3">
      <c r="A20" t="s">
        <v>22</v>
      </c>
      <c r="C20" s="8">
        <v>159.16907947649227</v>
      </c>
      <c r="D20" s="8">
        <v>186.57457509392691</v>
      </c>
      <c r="E20" s="8">
        <v>88.671747737270337</v>
      </c>
      <c r="F20" s="8">
        <v>91.05346846477957</v>
      </c>
      <c r="G20" s="8">
        <v>76.295014037688844</v>
      </c>
      <c r="H20" s="8">
        <v>103.91777820255011</v>
      </c>
      <c r="I20" s="8">
        <v>24.129956976093435</v>
      </c>
      <c r="J20" s="8">
        <v>9.6587418773580485</v>
      </c>
      <c r="K20" s="8">
        <v>39.873986572738893</v>
      </c>
      <c r="L20" s="8">
        <v>39.392650670782693</v>
      </c>
      <c r="M20" s="8">
        <v>37.543193531390486</v>
      </c>
      <c r="N20" s="8">
        <v>35.210514773413507</v>
      </c>
    </row>
    <row r="21" spans="1:18" x14ac:dyDescent="0.3">
      <c r="A21" t="s">
        <v>23</v>
      </c>
      <c r="C21" s="8">
        <v>0.17695780774076086</v>
      </c>
      <c r="D21" s="8">
        <v>0.84873356382106846</v>
      </c>
      <c r="E21" s="8">
        <v>1.0016901002271057</v>
      </c>
      <c r="F21" s="8">
        <v>0.94233965355888449</v>
      </c>
      <c r="G21" s="8">
        <v>0.25932585514753237</v>
      </c>
      <c r="H21" s="8">
        <v>0.20016220753260605</v>
      </c>
      <c r="I21" s="8">
        <v>0.10993386936429031</v>
      </c>
      <c r="J21" s="8">
        <v>3.9633264263072961E-2</v>
      </c>
      <c r="K21" s="8">
        <v>0.12532304208843895</v>
      </c>
      <c r="L21" s="8">
        <v>0.13634721139443598</v>
      </c>
      <c r="M21" s="8">
        <v>0.12377279983087709</v>
      </c>
      <c r="N21" s="8">
        <v>0.13379578645659887</v>
      </c>
    </row>
    <row r="22" spans="1:18" x14ac:dyDescent="0.3">
      <c r="A22" t="s">
        <v>24</v>
      </c>
      <c r="C22" s="8">
        <v>4980.8747800674</v>
      </c>
      <c r="D22" s="8">
        <v>1805.6420787750001</v>
      </c>
      <c r="E22" s="8">
        <v>559.01523069112591</v>
      </c>
      <c r="F22" s="8">
        <v>509.38959897598522</v>
      </c>
      <c r="G22" s="8">
        <v>2212.0890266801184</v>
      </c>
      <c r="H22" s="8">
        <v>3567.9032963714417</v>
      </c>
      <c r="I22" s="8">
        <v>1638.6128623635591</v>
      </c>
      <c r="J22" s="8">
        <v>1768.7171663949273</v>
      </c>
      <c r="K22" s="8">
        <v>2421.5752217106919</v>
      </c>
      <c r="L22" s="8">
        <v>2232.2727451208079</v>
      </c>
      <c r="M22" s="8">
        <v>2286.7761842297405</v>
      </c>
      <c r="N22" s="8">
        <v>1944.5442451736928</v>
      </c>
    </row>
    <row r="23" spans="1:18" x14ac:dyDescent="0.3">
      <c r="A23" t="s">
        <v>25</v>
      </c>
      <c r="C23" s="8">
        <v>1.7640318563974589</v>
      </c>
      <c r="D23" s="8">
        <v>0.85830821430221094</v>
      </c>
      <c r="E23" s="8">
        <v>0.51948181950016381</v>
      </c>
      <c r="F23" s="8">
        <v>0.46688017152387007</v>
      </c>
      <c r="G23" s="8">
        <v>0.81912591091041609</v>
      </c>
      <c r="H23" s="8">
        <v>1.7183243286392962</v>
      </c>
      <c r="I23" s="8">
        <v>0.72181682835017047</v>
      </c>
      <c r="J23" s="8">
        <v>0.65192770459611971</v>
      </c>
      <c r="K23" s="8">
        <v>0.75247088016946906</v>
      </c>
      <c r="L23" s="8">
        <v>0.65572545407364113</v>
      </c>
      <c r="M23" s="8">
        <v>0.74554321792055855</v>
      </c>
      <c r="N23" s="8">
        <v>0.70433740325008287</v>
      </c>
    </row>
    <row r="25" spans="1:18" x14ac:dyDescent="0.3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66D-A249-490C-BADD-C060BA2A5B3A}">
  <dimension ref="A1:Y23"/>
  <sheetViews>
    <sheetView zoomScaleNormal="100" workbookViewId="0">
      <selection activeCell="G22" sqref="G22"/>
    </sheetView>
  </sheetViews>
  <sheetFormatPr defaultRowHeight="14.4" x14ac:dyDescent="0.3"/>
  <cols>
    <col min="3" max="3" width="8.5546875" customWidth="1"/>
    <col min="4" max="6" width="7.5546875" customWidth="1"/>
    <col min="7" max="8" width="8.5546875" customWidth="1"/>
    <col min="9" max="10" width="7.5546875" customWidth="1"/>
    <col min="11" max="11" width="8.5546875" customWidth="1"/>
    <col min="12" max="12" width="8.5546875" bestFit="1" customWidth="1"/>
    <col min="13" max="13" width="8.5546875" customWidth="1"/>
    <col min="14" max="14" width="13.5546875" bestFit="1" customWidth="1"/>
    <col min="15" max="15" width="14.5546875" bestFit="1" customWidth="1"/>
    <col min="16" max="17" width="13.5546875" bestFit="1" customWidth="1"/>
    <col min="18" max="18" width="15.5546875" bestFit="1" customWidth="1"/>
    <col min="19" max="19" width="14.5546875" bestFit="1" customWidth="1"/>
  </cols>
  <sheetData>
    <row r="1" spans="1:25" x14ac:dyDescent="0.3">
      <c r="B1" t="s">
        <v>0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s="3" t="s">
        <v>13</v>
      </c>
      <c r="U1" s="3" t="s">
        <v>13</v>
      </c>
      <c r="V1" s="3" t="s">
        <v>13</v>
      </c>
      <c r="W1" s="3" t="s">
        <v>13</v>
      </c>
      <c r="X1" s="3" t="s">
        <v>13</v>
      </c>
      <c r="Y1" s="3" t="s">
        <v>13</v>
      </c>
    </row>
    <row r="2" spans="1:25" x14ac:dyDescent="0.3">
      <c r="C2" t="str">
        <f>'Valori input_2_20'!B$1</f>
        <v>S07</v>
      </c>
      <c r="D2" t="str">
        <f>'Valori input_2_20'!C$1</f>
        <v>S09</v>
      </c>
      <c r="E2" t="str">
        <f>'Valori input_2_20'!D$1</f>
        <v>S10</v>
      </c>
      <c r="F2" t="str">
        <f>'Valori input_2_20'!E$1</f>
        <v>S11</v>
      </c>
      <c r="G2" t="str">
        <f>'Valori input_2_20'!F$1</f>
        <v>S13</v>
      </c>
      <c r="H2" t="str">
        <f>'Valori input_2_20'!G$1</f>
        <v>S15</v>
      </c>
      <c r="I2" t="str">
        <f>'Valori input_2_20'!H$1</f>
        <v>S17</v>
      </c>
      <c r="J2" t="str">
        <f>'Valori input_2_20'!I$1</f>
        <v>S19</v>
      </c>
      <c r="K2" t="str">
        <f>'Valori input_2_20'!J$1</f>
        <v>S20</v>
      </c>
      <c r="L2" t="str">
        <f>'Valori input_2_20'!K$1</f>
        <v>S21</v>
      </c>
      <c r="M2" t="str">
        <f>'Valori input_2_20'!L$1</f>
        <v>S23</v>
      </c>
      <c r="N2" t="str">
        <f>'Valori input_2_20'!M$1</f>
        <v>S12</v>
      </c>
      <c r="O2" t="str">
        <f>'Valori input_2_20'!N$1</f>
        <v>S13</v>
      </c>
      <c r="P2" t="str">
        <f>'Valori input_2_20'!O$1</f>
        <v>S14</v>
      </c>
      <c r="Q2" t="str">
        <f>'Valori input_2_20'!P$1</f>
        <v>S15</v>
      </c>
      <c r="R2" t="str">
        <f>'Valori input_2_20'!Q$1</f>
        <v>S16</v>
      </c>
      <c r="S2" t="str">
        <f>'Valori input_2_20'!R$1</f>
        <v>S17</v>
      </c>
      <c r="T2" t="str">
        <f>'Valori input_2_20'!S$1</f>
        <v>S18</v>
      </c>
      <c r="U2" t="str">
        <f>'Valori input_2_20'!T$1</f>
        <v>S19</v>
      </c>
      <c r="V2" t="str">
        <f>'Valori input_2_20'!U$1</f>
        <v>S20</v>
      </c>
      <c r="W2" t="str">
        <f>'Valori input_2_20'!V$1</f>
        <v>S21</v>
      </c>
      <c r="X2" t="str">
        <f>'Valori input_2_20'!W$1</f>
        <v>S22</v>
      </c>
      <c r="Y2" t="str">
        <f>'Valori input_2_20'!X$1</f>
        <v>S23</v>
      </c>
    </row>
    <row r="3" spans="1:25" x14ac:dyDescent="0.3">
      <c r="B3" t="s">
        <v>0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</row>
    <row r="4" spans="1:25" x14ac:dyDescent="0.3">
      <c r="B4">
        <v>0</v>
      </c>
      <c r="C4" s="1">
        <f>'Valori input_2_20'!B5*'Valori input_2_20'!$B$18</f>
        <v>0</v>
      </c>
      <c r="D4" s="1">
        <f>'Valori input_2_20'!C5*'Valori input_2_20'!$B$18</f>
        <v>0</v>
      </c>
      <c r="E4" s="1">
        <f>'Valori input_2_20'!D5*'Valori input_2_20'!$B$18</f>
        <v>0</v>
      </c>
      <c r="F4" s="1">
        <f>'Valori input_2_20'!E5*'Valori input_2_20'!$B$18</f>
        <v>0</v>
      </c>
      <c r="G4" s="1">
        <f>'Valori input_2_20'!F5*'Valori input_2_20'!$B$18</f>
        <v>0</v>
      </c>
      <c r="H4" s="1">
        <f>'Valori input_2_20'!G5*'Valori input_2_20'!$B$18</f>
        <v>0</v>
      </c>
      <c r="I4" s="1">
        <f>'Valori input_2_20'!H5*'Valori input_2_20'!$B$18</f>
        <v>0</v>
      </c>
      <c r="J4" s="1">
        <f>'Valori input_2_20'!I5*'Valori input_2_20'!$B$18</f>
        <v>0</v>
      </c>
      <c r="K4" s="1">
        <f>'Valori input_2_20'!J5*'Valori input_2_20'!$B$18</f>
        <v>0</v>
      </c>
      <c r="L4" s="1">
        <f>'Valori input_2_20'!K5*'Valori input_2_20'!$B$18</f>
        <v>0</v>
      </c>
      <c r="M4" s="1">
        <f>'Valori input_2_20'!L5*'Valori input_2_20'!$B$18</f>
        <v>0</v>
      </c>
      <c r="N4" s="1">
        <f>'Valori input_2_20'!M5*'Valori input_2_20'!$B$18</f>
        <v>0</v>
      </c>
      <c r="O4" s="1">
        <f>'Valori input_2_20'!N5*'Valori input_2_20'!$B$18</f>
        <v>0</v>
      </c>
      <c r="P4" s="1">
        <f>'Valori input_2_20'!O5*'Valori input_2_20'!$B$18</f>
        <v>0</v>
      </c>
      <c r="Q4" s="1">
        <f>'Valori input_2_20'!P5*'Valori input_2_20'!$B$18</f>
        <v>0</v>
      </c>
      <c r="R4" s="1">
        <f>'Valori input_2_20'!Q5*'Valori input_2_20'!$B$18</f>
        <v>0</v>
      </c>
      <c r="S4" s="1">
        <f>'Valori input_2_20'!R5*'Valori input_2_20'!$B$18</f>
        <v>0</v>
      </c>
      <c r="T4" s="1">
        <f>'Valori input_2_20'!S5*'Valori input_2_20'!$B$18</f>
        <v>0</v>
      </c>
      <c r="U4" s="1">
        <f>'Valori input_2_20'!T5*'Valori input_2_20'!$B$18</f>
        <v>0</v>
      </c>
      <c r="V4" s="1">
        <f>'Valori input_2_20'!U5*'Valori input_2_20'!$B$18</f>
        <v>0</v>
      </c>
      <c r="W4" s="1">
        <f>'Valori input_2_20'!V5*'Valori input_2_20'!$B$18</f>
        <v>0</v>
      </c>
      <c r="X4" s="1">
        <f>'Valori input_2_20'!W5*'Valori input_2_20'!$B$18</f>
        <v>0</v>
      </c>
      <c r="Y4" s="1">
        <f>'Valori input_2_20'!X5*'Valori input_2_20'!$B$18</f>
        <v>0</v>
      </c>
    </row>
    <row r="5" spans="1:25" x14ac:dyDescent="0.3">
      <c r="B5">
        <v>10</v>
      </c>
      <c r="C5" s="1">
        <f>'Valori input_2_20'!B6*'Valori input_2_20'!$B$18</f>
        <v>2.7402005469462299E-2</v>
      </c>
      <c r="D5" s="1">
        <f>'Valori input_2_20'!C6*'Valori input_2_20'!$B$18</f>
        <v>2.526990712366245E-2</v>
      </c>
      <c r="E5" s="1">
        <f>'Valori input_2_20'!D6*'Valori input_2_20'!$B$18</f>
        <v>1.641154178975357E-2</v>
      </c>
      <c r="F5" s="1">
        <f>'Valori input_2_20'!E6*'Valori input_2_20'!$B$18</f>
        <v>3.1235907051814907E-2</v>
      </c>
      <c r="G5" s="1">
        <f>'Valori input_2_20'!F6*'Valori input_2_20'!$B$18</f>
        <v>1.8795065441000579E-2</v>
      </c>
      <c r="H5" s="1">
        <f>'Valori input_2_20'!G6*'Valori input_2_20'!$B$18</f>
        <v>1.2689377093896222E-2</v>
      </c>
      <c r="I5" s="1">
        <f>'Valori input_2_20'!H6*'Valori input_2_20'!$B$18</f>
        <v>5.7417582417586413E-3</v>
      </c>
      <c r="J5" s="1">
        <f>'Valori input_2_20'!I6*'Valori input_2_20'!$B$18</f>
        <v>1.7386791228756443E-3</v>
      </c>
      <c r="K5" s="1">
        <f>'Valori input_2_20'!J6*'Valori input_2_20'!$B$18</f>
        <v>8.3092602810867031E-3</v>
      </c>
      <c r="L5" s="1">
        <f>'Valori input_2_20'!K6*'Valori input_2_20'!$B$18</f>
        <v>9.9280721304838022E-3</v>
      </c>
      <c r="M5" s="1">
        <f>'Valori input_2_20'!L6*'Valori input_2_20'!$B$18</f>
        <v>8.4663322693419221E-3</v>
      </c>
      <c r="N5" s="1">
        <f>'Valori input_2_20'!M6*'Valori input_2_20'!$B$18</f>
        <v>3.1767235081714071E-2</v>
      </c>
      <c r="O5" s="1">
        <f>'Valori input_2_20'!N6*'Valori input_2_20'!$B$18</f>
        <v>3.5639203123435804E-2</v>
      </c>
      <c r="P5" s="1">
        <f>'Valori input_2_20'!O6*'Valori input_2_20'!$B$18</f>
        <v>1.9036202349556601E-2</v>
      </c>
      <c r="Q5" s="1">
        <f>'Valori input_2_20'!P6*'Valori input_2_20'!$B$18</f>
        <v>1.154506871463259E-2</v>
      </c>
      <c r="R5" s="7">
        <f>'Valori input_2_20'!Q6*'Valori input_2_20'!$B$18</f>
        <v>3.1496675350933057E-3</v>
      </c>
      <c r="S5" s="1">
        <f>'Valori input_2_20'!R6*'Valori input_2_20'!$B$18</f>
        <v>9.1020772838959173E-3</v>
      </c>
      <c r="T5" s="1">
        <f>'Valori input_2_20'!S6*'Valori input_2_20'!$B$18</f>
        <v>0</v>
      </c>
      <c r="U5" s="1">
        <f>'Valori input_2_20'!T6*'Valori input_2_20'!$B$18</f>
        <v>0</v>
      </c>
      <c r="V5" s="1">
        <f>'Valori input_2_20'!U6*'Valori input_2_20'!$B$18</f>
        <v>0</v>
      </c>
      <c r="W5" s="1">
        <f>'Valori input_2_20'!V6*'Valori input_2_20'!$B$18</f>
        <v>0</v>
      </c>
      <c r="X5" s="1">
        <f>'Valori input_2_20'!W6*'Valori input_2_20'!$B$18</f>
        <v>0</v>
      </c>
      <c r="Y5" s="1">
        <f>'Valori input_2_20'!X6*'Valori input_2_20'!$B$18</f>
        <v>0</v>
      </c>
    </row>
    <row r="6" spans="1:25" x14ac:dyDescent="0.3">
      <c r="B6">
        <v>20</v>
      </c>
      <c r="C6" s="1">
        <f>'Valori input_2_20'!B7*'Valori input_2_20'!$B$18</f>
        <v>4.9735642661805288E-2</v>
      </c>
      <c r="D6" s="1">
        <f>'Valori input_2_20'!C7*'Valori input_2_20'!$B$18</f>
        <v>3.9884965348168572E-2</v>
      </c>
      <c r="E6" s="1">
        <f>'Valori input_2_20'!D7*'Valori input_2_20'!$B$18</f>
        <v>4.2714767403694419E-2</v>
      </c>
      <c r="F6" s="1">
        <f>'Valori input_2_20'!E7*'Valori input_2_20'!$B$18</f>
        <v>7.7377702879115731E-2</v>
      </c>
      <c r="G6" s="1">
        <f>'Valori input_2_20'!F7*'Valori input_2_20'!$B$18</f>
        <v>3.5642278645388784E-2</v>
      </c>
      <c r="H6" s="1">
        <f>'Valori input_2_20'!G7*'Valori input_2_20'!$B$18</f>
        <v>3.3798808147292421E-2</v>
      </c>
      <c r="I6" s="1">
        <f>'Valori input_2_20'!H7*'Valori input_2_20'!$B$18</f>
        <v>1.2637362637363012E-2</v>
      </c>
      <c r="J6" s="1">
        <f>'Valori input_2_20'!I7*'Valori input_2_20'!$B$18</f>
        <v>5.08628519527741E-3</v>
      </c>
      <c r="K6" s="1">
        <f>'Valori input_2_20'!J7*'Valori input_2_20'!$B$18</f>
        <v>1.7202765425687154E-2</v>
      </c>
      <c r="L6" s="1">
        <f>'Valori input_2_20'!K7*'Valori input_2_20'!$B$18</f>
        <v>1.7796238138655641E-2</v>
      </c>
      <c r="M6" s="1">
        <f>'Valori input_2_20'!L7*'Valori input_2_20'!$B$18</f>
        <v>1.5002279981760154E-2</v>
      </c>
      <c r="N6" s="1">
        <f>'Valori input_2_20'!M7*'Valori input_2_20'!$B$18</f>
        <v>8.05243054830833E-2</v>
      </c>
      <c r="O6" s="1">
        <f>'Valori input_2_20'!N7*'Valori input_2_20'!$B$18</f>
        <v>5.3578936830513658E-2</v>
      </c>
      <c r="P6" s="1">
        <f>'Valori input_2_20'!O7*'Valori input_2_20'!$B$18</f>
        <v>3.6298249820187381E-2</v>
      </c>
      <c r="Q6" s="1">
        <f>'Valori input_2_20'!P7*'Valori input_2_20'!$B$18</f>
        <v>5.605800323363018E-2</v>
      </c>
      <c r="R6" s="1">
        <f>'Valori input_2_20'!Q7*'Valori input_2_20'!$B$18</f>
        <v>8.9823851926741152E-3</v>
      </c>
      <c r="S6" s="1">
        <f>'Valori input_2_20'!R7*'Valori input_2_20'!$B$18</f>
        <v>1.7422381058745037E-2</v>
      </c>
      <c r="T6" s="1">
        <f>'Valori input_2_20'!S7*'Valori input_2_20'!$B$18</f>
        <v>0</v>
      </c>
      <c r="U6" s="1">
        <f>'Valori input_2_20'!T7*'Valori input_2_20'!$B$18</f>
        <v>0</v>
      </c>
      <c r="V6" s="1">
        <f>'Valori input_2_20'!U7*'Valori input_2_20'!$B$18</f>
        <v>0</v>
      </c>
      <c r="W6" s="1">
        <f>'Valori input_2_20'!V7*'Valori input_2_20'!$B$18</f>
        <v>0</v>
      </c>
      <c r="X6" s="1">
        <f>'Valori input_2_20'!W7*'Valori input_2_20'!$B$18</f>
        <v>0</v>
      </c>
      <c r="Y6" s="1">
        <f>'Valori input_2_20'!X7*'Valori input_2_20'!$B$18</f>
        <v>0</v>
      </c>
    </row>
    <row r="7" spans="1:25" x14ac:dyDescent="0.3">
      <c r="B7">
        <v>30</v>
      </c>
      <c r="C7" s="1">
        <f>'Valori input_2_20'!B8*'Valori input_2_20'!$B$18</f>
        <v>6.7183226982680075E-2</v>
      </c>
      <c r="D7" s="1">
        <f>'Valori input_2_20'!C8*'Valori input_2_20'!$B$18</f>
        <v>5.3368535194003613E-2</v>
      </c>
      <c r="E7" s="1">
        <f>'Valori input_2_20'!D8*'Valori input_2_20'!$B$18</f>
        <v>8.6190433563095234E-2</v>
      </c>
      <c r="F7" s="1">
        <f>'Valori input_2_20'!E8*'Valori input_2_20'!$B$18</f>
        <v>0.13023664285205735</v>
      </c>
      <c r="G7" s="1">
        <f>'Valori input_2_20'!F8*'Valori input_2_20'!$B$18</f>
        <v>5.3275467313672283E-2</v>
      </c>
      <c r="H7" s="1">
        <f>'Valori input_2_20'!G8*'Valori input_2_20'!$B$18</f>
        <v>5.0994692994159464E-2</v>
      </c>
      <c r="I7" s="1">
        <f>'Valori input_2_20'!H8*'Valori input_2_20'!$B$18</f>
        <v>2.0576923076923728E-2</v>
      </c>
      <c r="J7" s="1">
        <f>'Valori input_2_20'!I8*'Valori input_2_20'!$B$18</f>
        <v>8.5895938756977187E-3</v>
      </c>
      <c r="K7" s="1">
        <f>'Valori input_2_20'!J8*'Valori input_2_20'!$B$18</f>
        <v>2.7070012009478225E-2</v>
      </c>
      <c r="L7" s="1">
        <f>'Valori input_2_20'!K8*'Valori input_2_20'!$B$18</f>
        <v>2.6913855401344097E-2</v>
      </c>
      <c r="M7" s="1">
        <f>'Valori input_2_20'!L8*'Valori input_2_20'!$B$18</f>
        <v>1.9957440340477271E-2</v>
      </c>
      <c r="N7" s="1">
        <f>'Valori input_2_20'!M8*'Valori input_2_20'!$B$18</f>
        <v>0.10291999749535587</v>
      </c>
      <c r="O7" s="1">
        <f>'Valori input_2_20'!N8*'Valori input_2_20'!$B$18</f>
        <v>7.8446290920012041E-2</v>
      </c>
      <c r="P7" s="1">
        <f>'Valori input_2_20'!O8*'Valori input_2_20'!$B$18</f>
        <v>6.0033565092304453E-2</v>
      </c>
      <c r="Q7" s="1">
        <f>'Valori input_2_20'!P8*'Valori input_2_20'!$B$18</f>
        <v>8.0512328213419734E-2</v>
      </c>
      <c r="R7" s="1">
        <f>'Valori input_2_20'!Q8*'Valori input_2_20'!$B$18</f>
        <v>1.5476144184780787E-2</v>
      </c>
      <c r="S7" s="1">
        <f>'Valori input_2_20'!R8*'Valori input_2_20'!$B$18</f>
        <v>2.6552378825106228E-2</v>
      </c>
      <c r="T7" s="1">
        <f>'Valori input_2_20'!S8*'Valori input_2_20'!$B$18</f>
        <v>0</v>
      </c>
      <c r="U7" s="1">
        <f>'Valori input_2_20'!T8*'Valori input_2_20'!$B$18</f>
        <v>0</v>
      </c>
      <c r="V7" s="1">
        <f>'Valori input_2_20'!U8*'Valori input_2_20'!$B$18</f>
        <v>0</v>
      </c>
      <c r="W7" s="1">
        <f>'Valori input_2_20'!V8*'Valori input_2_20'!$B$18</f>
        <v>0</v>
      </c>
      <c r="X7" s="1">
        <f>'Valori input_2_20'!W8*'Valori input_2_20'!$B$18</f>
        <v>0</v>
      </c>
      <c r="Y7" s="1">
        <f>'Valori input_2_20'!X8*'Valori input_2_20'!$B$18</f>
        <v>0</v>
      </c>
    </row>
    <row r="8" spans="1:25" x14ac:dyDescent="0.3">
      <c r="B8">
        <v>40</v>
      </c>
      <c r="C8" s="1">
        <f>'Valori input_2_20'!B9*'Valori input_2_20'!$B$18</f>
        <v>8.0255241567912861E-2</v>
      </c>
      <c r="D8" s="1">
        <f>'Valori input_2_20'!C9*'Valori input_2_20'!$B$18</f>
        <v>6.6404224223280406E-2</v>
      </c>
      <c r="E8" s="1">
        <f>'Valori input_2_20'!D9*'Valori input_2_20'!$B$18</f>
        <v>0.1265777459493333</v>
      </c>
      <c r="F8" s="1">
        <f>'Valori input_2_20'!E9*'Valori input_2_20'!$B$18</f>
        <v>0.20084973060216998</v>
      </c>
      <c r="G8" s="1">
        <f>'Valori input_2_20'!F9*'Valori input_2_20'!$B$18</f>
        <v>6.6910432969962408E-2</v>
      </c>
      <c r="H8" s="1">
        <f>'Valori input_2_20'!G9*'Valori input_2_20'!$B$18</f>
        <v>6.7805152835838947E-2</v>
      </c>
      <c r="I8" s="1">
        <f>'Valori input_2_20'!H9*'Valori input_2_20'!$B$18</f>
        <v>2.7060439560439936E-2</v>
      </c>
      <c r="J8" s="1">
        <f>'Valori input_2_20'!I9*'Valori input_2_20'!$B$18</f>
        <v>1.1599844297392345E-2</v>
      </c>
      <c r="K8" s="1">
        <f>'Valori input_2_20'!J9*'Valori input_2_20'!$B$18</f>
        <v>3.5541562530429754E-2</v>
      </c>
      <c r="L8" s="1">
        <f>'Valori input_2_20'!K9*'Valori input_2_20'!$B$18</f>
        <v>3.4376793975619033E-2</v>
      </c>
      <c r="M8" s="1">
        <f>'Valori input_2_20'!L9*'Valori input_2_20'!$B$18</f>
        <v>2.375740994072047E-2</v>
      </c>
      <c r="N8" s="1">
        <f>'Valori input_2_20'!M9*'Valori input_2_20'!$B$18</f>
        <v>0.11690425998205027</v>
      </c>
      <c r="O8" s="1">
        <f>'Valori input_2_20'!N9*'Valori input_2_20'!$B$18</f>
        <v>0.1040344378816698</v>
      </c>
      <c r="P8" s="1">
        <f>'Valori input_2_20'!O9*'Valori input_2_20'!$B$18</f>
        <v>7.9908894749460807E-2</v>
      </c>
      <c r="Q8" s="1">
        <f>'Valori input_2_20'!P9*'Valori input_2_20'!$B$18</f>
        <v>0.1047392886014558</v>
      </c>
      <c r="R8" s="1">
        <f>'Valori input_2_20'!Q9*'Valori input_2_20'!$B$18</f>
        <v>2.0531166154683565E-2</v>
      </c>
      <c r="S8" s="1">
        <f>'Valori input_2_20'!R9*'Valori input_2_20'!$B$18</f>
        <v>3.4202591020772839E-2</v>
      </c>
      <c r="T8" s="1">
        <f>'Valori input_2_20'!S9*'Valori input_2_20'!$B$18</f>
        <v>0</v>
      </c>
      <c r="U8" s="1">
        <f>'Valori input_2_20'!T9*'Valori input_2_20'!$B$18</f>
        <v>0</v>
      </c>
      <c r="V8" s="1">
        <f>'Valori input_2_20'!U9*'Valori input_2_20'!$B$18</f>
        <v>0</v>
      </c>
      <c r="W8" s="1">
        <f>'Valori input_2_20'!V9*'Valori input_2_20'!$B$18</f>
        <v>0</v>
      </c>
      <c r="X8" s="1">
        <f>'Valori input_2_20'!W9*'Valori input_2_20'!$B$18</f>
        <v>0</v>
      </c>
      <c r="Y8" s="1">
        <f>'Valori input_2_20'!X9*'Valori input_2_20'!$B$18</f>
        <v>0</v>
      </c>
    </row>
    <row r="9" spans="1:25" x14ac:dyDescent="0.3">
      <c r="B9">
        <v>50</v>
      </c>
      <c r="C9" s="1">
        <f>'Valori input_2_20'!B10*'Valori input_2_20'!$B$18</f>
        <v>0.10030993618960819</v>
      </c>
      <c r="D9" s="1">
        <f>'Valori input_2_20'!C10*'Valori input_2_20'!$B$18</f>
        <v>9.0165480175380952E-2</v>
      </c>
      <c r="E9" s="1">
        <f>'Valori input_2_20'!D10*'Valori input_2_20'!$B$18</f>
        <v>0.19966878524751611</v>
      </c>
      <c r="F9" s="1">
        <f>'Valori input_2_20'!E10*'Valori input_2_20'!$B$18</f>
        <v>0.31378320001898891</v>
      </c>
      <c r="G9" s="1">
        <f>'Valori input_2_20'!F10*'Valori input_2_20'!$B$18</f>
        <v>8.2322386631583047E-2</v>
      </c>
      <c r="H9" s="1">
        <f>'Valori input_2_20'!G10*'Valori input_2_20'!$B$18</f>
        <v>8.9566841590323659E-2</v>
      </c>
      <c r="I9" s="1">
        <f>'Valori input_2_20'!H10*'Valori input_2_20'!$B$18</f>
        <v>4.7170329670330025E-2</v>
      </c>
      <c r="J9" s="1">
        <f>'Valori input_2_20'!I10*'Valori input_2_20'!$B$18</f>
        <v>1.7931750356818838E-2</v>
      </c>
      <c r="K9" s="1">
        <f>'Valori input_2_20'!J10*'Valori input_2_20'!$B$18</f>
        <v>5.0472264598007299E-2</v>
      </c>
      <c r="L9" s="1">
        <f>'Valori input_2_20'!K10*'Valori input_2_20'!$B$18</f>
        <v>4.4169790294802905E-2</v>
      </c>
      <c r="M9" s="1">
        <f>'Valori input_2_20'!L10*'Valori input_2_20'!$B$18</f>
        <v>2.8438972488219978E-2</v>
      </c>
      <c r="N9" s="1">
        <f>'Valori input_2_20'!M10*'Valori input_2_20'!$B$18</f>
        <v>0.14195070025672624</v>
      </c>
      <c r="O9" s="1">
        <f>'Valori input_2_20'!N10*'Valori input_2_20'!$B$18</f>
        <v>0.15154670137150866</v>
      </c>
      <c r="P9" s="1">
        <f>'Valori input_2_20'!O10*'Valori input_2_20'!$B$18</f>
        <v>0.10203788060417207</v>
      </c>
      <c r="Q9" s="1">
        <f>'Valori input_2_20'!P10*'Valori input_2_20'!$B$18</f>
        <v>0.13523140662894123</v>
      </c>
      <c r="R9" s="1">
        <f>'Valori input_2_20'!Q10*'Valori input_2_20'!$B$18</f>
        <v>3.4918536376715638E-2</v>
      </c>
      <c r="S9" s="1">
        <f>'Valori input_2_20'!R10*'Valori input_2_20'!$B$18</f>
        <v>4.44214876033057E-2</v>
      </c>
      <c r="T9" s="1">
        <f>'Valori input_2_20'!S10*'Valori input_2_20'!$B$18</f>
        <v>0</v>
      </c>
      <c r="U9" s="1">
        <f>'Valori input_2_20'!T10*'Valori input_2_20'!$B$18</f>
        <v>0</v>
      </c>
      <c r="V9" s="1">
        <f>'Valori input_2_20'!U10*'Valori input_2_20'!$B$18</f>
        <v>0</v>
      </c>
      <c r="W9" s="1">
        <f>'Valori input_2_20'!V10*'Valori input_2_20'!$B$18</f>
        <v>0</v>
      </c>
      <c r="X9" s="1">
        <f>'Valori input_2_20'!W10*'Valori input_2_20'!$B$18</f>
        <v>0</v>
      </c>
      <c r="Y9" s="1">
        <f>'Valori input_2_20'!X10*'Valori input_2_20'!$B$18</f>
        <v>0</v>
      </c>
    </row>
    <row r="10" spans="1:25" x14ac:dyDescent="0.3">
      <c r="B10">
        <v>60</v>
      </c>
      <c r="C10" s="1">
        <f>'Valori input_2_20'!B11*'Valori input_2_20'!$B$18</f>
        <v>0.12971741112123991</v>
      </c>
      <c r="D10" s="1">
        <f>'Valori input_2_20'!C11*'Valori input_2_20'!$B$18</f>
        <v>0.11833482626938917</v>
      </c>
      <c r="E10" s="1">
        <f>'Valori input_2_20'!D11*'Valori input_2_20'!$B$18</f>
        <v>0.3234267299257006</v>
      </c>
      <c r="F10" s="1">
        <f>'Valori input_2_20'!E11*'Valori input_2_20'!$B$18</f>
        <v>0.52773492202891059</v>
      </c>
      <c r="G10" s="1">
        <f>'Valori input_2_20'!F11*'Valori input_2_20'!$B$18</f>
        <v>0.10022895806991779</v>
      </c>
      <c r="H10" s="1">
        <f>'Valori input_2_20'!G11*'Valori input_2_20'!$B$18</f>
        <v>0.11865160544338745</v>
      </c>
      <c r="I10" s="1">
        <f>'Valori input_2_20'!H11*'Valori input_2_20'!$B$18</f>
        <v>5.7692307692308001E-2</v>
      </c>
      <c r="J10" s="1">
        <f>'Valori input_2_20'!I11*'Valori input_2_20'!$B$18</f>
        <v>2.3822499026859012E-2</v>
      </c>
      <c r="K10" s="1">
        <f>'Valori input_2_20'!J11*'Valori input_2_20'!$B$18</f>
        <v>6.7999610503424845E-2</v>
      </c>
      <c r="L10" s="1">
        <f>'Valori input_2_20'!K11*'Valori input_2_20'!$B$18</f>
        <v>5.7035761321041774E-2</v>
      </c>
      <c r="M10" s="1">
        <f>'Valori input_2_20'!L11*'Valori input_2_20'!$B$18</f>
        <v>3.7695698434412284E-2</v>
      </c>
      <c r="N10" s="1">
        <f>'Valori input_2_20'!M11*'Valori input_2_20'!$B$18</f>
        <v>0.20786458224624857</v>
      </c>
      <c r="O10" s="1">
        <f>'Valori input_2_20'!N11*'Valori input_2_20'!$B$18</f>
        <v>0.32764040444488929</v>
      </c>
      <c r="P10" s="1">
        <f>'Valori input_2_20'!O11*'Valori input_2_20'!$B$18</f>
        <v>0.12951330616159243</v>
      </c>
      <c r="Q10" s="1">
        <f>'Valori input_2_20'!P11*'Valori input_2_20'!$B$18</f>
        <v>0.17678860145513373</v>
      </c>
      <c r="R10" s="1">
        <f>'Valori input_2_20'!Q11*'Valori input_2_20'!$B$18</f>
        <v>4.4173115060077039E-2</v>
      </c>
      <c r="S10" s="1">
        <f>'Valori input_2_20'!R11*'Valori input_2_20'!$B$18</f>
        <v>5.9721911994639693E-2</v>
      </c>
      <c r="T10" s="1">
        <f>'Valori input_2_20'!S11*'Valori input_2_20'!$B$18</f>
        <v>0</v>
      </c>
      <c r="U10" s="1">
        <f>'Valori input_2_20'!T11*'Valori input_2_20'!$B$18</f>
        <v>0</v>
      </c>
      <c r="V10" s="1">
        <f>'Valori input_2_20'!U11*'Valori input_2_20'!$B$18</f>
        <v>0</v>
      </c>
      <c r="W10" s="1">
        <f>'Valori input_2_20'!V11*'Valori input_2_20'!$B$18</f>
        <v>0</v>
      </c>
      <c r="X10" s="1">
        <f>'Valori input_2_20'!W11*'Valori input_2_20'!$B$18</f>
        <v>0</v>
      </c>
      <c r="Y10" s="1">
        <f>'Valori input_2_20'!X11*'Valori input_2_20'!$B$18</f>
        <v>0</v>
      </c>
    </row>
    <row r="11" spans="1:25" x14ac:dyDescent="0.3">
      <c r="B11">
        <v>70</v>
      </c>
      <c r="C11" s="1">
        <f>'Valori input_2_20'!B12*'Valori input_2_20'!$B$18</f>
        <v>0.16207839562443063</v>
      </c>
      <c r="D11" s="1">
        <f>'Valori input_2_20'!C12*'Valori input_2_20'!$B$18</f>
        <v>0.15607467823299254</v>
      </c>
      <c r="E11" s="1">
        <f>'Valori input_2_20'!D12*'Valori input_2_20'!$B$18</f>
        <v>0.42951988780473266</v>
      </c>
      <c r="F11" s="1">
        <f>'Valori input_2_20'!E12*'Valori input_2_20'!$B$18</f>
        <v>0.67475255749922891</v>
      </c>
      <c r="G11" s="1">
        <f>'Valori input_2_20'!F12*'Valori input_2_20'!$B$18</f>
        <v>0.13334244609233498</v>
      </c>
      <c r="H11" s="1">
        <f>'Valori input_2_20'!G12*'Valori input_2_20'!$B$18</f>
        <v>0.16771917341160475</v>
      </c>
      <c r="I11" s="1">
        <f>'Valori input_2_20'!H12*'Valori input_2_20'!$B$18</f>
        <v>9.1071428571429122E-2</v>
      </c>
      <c r="J11" s="1">
        <f>'Valori input_2_20'!I12*'Valori input_2_20'!$B$18</f>
        <v>3.4306474633450622E-2</v>
      </c>
      <c r="K11" s="1">
        <f>'Valori input_2_20'!J12*'Valori input_2_20'!$B$18</f>
        <v>0.10357363108182664</v>
      </c>
      <c r="L11" s="1">
        <f>'Valori input_2_20'!K12*'Valori input_2_20'!$B$18</f>
        <v>7.6723060817884325E-2</v>
      </c>
      <c r="M11" s="1">
        <f>'Valori input_2_20'!L12*'Valori input_2_20'!$B$18</f>
        <v>6.099711202310381E-2</v>
      </c>
      <c r="N11" s="1">
        <f>'Valori input_2_20'!M12*'Valori input_2_20'!$B$18</f>
        <v>0.25217590949886282</v>
      </c>
      <c r="O11" s="1">
        <f>'Valori input_2_20'!N12*'Valori input_2_20'!$B$18</f>
        <v>0.4213835218740617</v>
      </c>
      <c r="P11" s="1">
        <f>'Valori input_2_20'!O12*'Valori input_2_20'!$B$18</f>
        <v>0.17487413090386</v>
      </c>
      <c r="Q11" s="1">
        <f>'Valori input_2_20'!P12*'Valori input_2_20'!$B$18</f>
        <v>0.24459377526273274</v>
      </c>
      <c r="R11" s="1">
        <f>'Valori input_2_20'!Q12*'Valori input_2_20'!$B$18</f>
        <v>9.2273593342924981E-2</v>
      </c>
      <c r="S11" s="1">
        <f>'Valori input_2_20'!R12*'Valori input_2_20'!$B$18</f>
        <v>8.2895912441367278E-2</v>
      </c>
      <c r="T11" s="1">
        <f>'Valori input_2_20'!S12*'Valori input_2_20'!$B$18</f>
        <v>0</v>
      </c>
      <c r="U11" s="1">
        <f>'Valori input_2_20'!T12*'Valori input_2_20'!$B$18</f>
        <v>0</v>
      </c>
      <c r="V11" s="1">
        <f>'Valori input_2_20'!U12*'Valori input_2_20'!$B$18</f>
        <v>0</v>
      </c>
      <c r="W11" s="1">
        <f>'Valori input_2_20'!V12*'Valori input_2_20'!$B$18</f>
        <v>0</v>
      </c>
      <c r="X11" s="1">
        <f>'Valori input_2_20'!W12*'Valori input_2_20'!$B$18</f>
        <v>0</v>
      </c>
      <c r="Y11" s="1">
        <f>'Valori input_2_20'!X12*'Valori input_2_20'!$B$18</f>
        <v>0</v>
      </c>
    </row>
    <row r="12" spans="1:25" x14ac:dyDescent="0.3">
      <c r="B12">
        <v>80</v>
      </c>
      <c r="C12" s="1">
        <f>'Valori input_2_20'!B13*'Valori input_2_20'!$B$18</f>
        <v>0.207584320875114</v>
      </c>
      <c r="D12" s="1">
        <f>'Valori input_2_20'!C13*'Valori input_2_20'!$B$18</f>
        <v>0.22196030361604899</v>
      </c>
      <c r="E12" s="1">
        <f>'Valori input_2_20'!D13*'Valori input_2_20'!$B$18</f>
        <v>0.59106913734968569</v>
      </c>
      <c r="F12" s="1">
        <f>'Valori input_2_20'!E13*'Valori input_2_20'!$B$18</f>
        <v>0.91395884265742622</v>
      </c>
      <c r="G12" s="1">
        <f>'Valori input_2_20'!F13*'Valori input_2_20'!$B$18</f>
        <v>0.20011618767727204</v>
      </c>
      <c r="H12" s="1">
        <f>'Valori input_2_20'!G13*'Valori input_2_20'!$B$18</f>
        <v>0.26345281508494212</v>
      </c>
      <c r="I12" s="1">
        <f>'Valori input_2_20'!H13*'Valori input_2_20'!$B$18</f>
        <v>0.14700549450549497</v>
      </c>
      <c r="J12" s="1">
        <f>'Valori input_2_20'!I13*'Valori input_2_20'!$B$18</f>
        <v>6.6407162319969237E-2</v>
      </c>
      <c r="K12" s="1">
        <f>'Valori input_2_20'!J13*'Valori input_2_20'!$B$18</f>
        <v>0.17326106007984718</v>
      </c>
      <c r="L12" s="1">
        <f>'Valori input_2_20'!K13*'Valori input_2_20'!$B$18</f>
        <v>0.10917502448249074</v>
      </c>
      <c r="M12" s="1">
        <f>'Valori input_2_20'!L13*'Valori input_2_20'!$B$18</f>
        <v>0.1898160814713484</v>
      </c>
      <c r="N12" s="1">
        <f>'Valori input_2_20'!M13*'Valori input_2_20'!$B$18</f>
        <v>0.32115798042203253</v>
      </c>
      <c r="O12" s="1">
        <f>'Valori input_2_20'!N13*'Valori input_2_20'!$B$18</f>
        <v>0.56924617078786666</v>
      </c>
      <c r="P12" s="1">
        <f>'Valori input_2_20'!O13*'Valori input_2_20'!$B$18</f>
        <v>0.27000719251977973</v>
      </c>
      <c r="Q12" s="1">
        <f>'Valori input_2_20'!P13*'Valori input_2_20'!$B$18</f>
        <v>0.36855800323362986</v>
      </c>
      <c r="R12" s="1">
        <f>'Valori input_2_20'!Q13*'Valori input_2_20'!$B$18</f>
        <v>0.15833884201112136</v>
      </c>
      <c r="S12" s="1">
        <f>'Valori input_2_20'!R13*'Valori input_2_20'!$B$18</f>
        <v>0.12287804333258877</v>
      </c>
      <c r="T12" s="1">
        <f>'Valori input_2_20'!S13*'Valori input_2_20'!$B$18</f>
        <v>0</v>
      </c>
      <c r="U12" s="1">
        <f>'Valori input_2_20'!T13*'Valori input_2_20'!$B$18</f>
        <v>0</v>
      </c>
      <c r="V12" s="1">
        <f>'Valori input_2_20'!U13*'Valori input_2_20'!$B$18</f>
        <v>0</v>
      </c>
      <c r="W12" s="1">
        <f>'Valori input_2_20'!V13*'Valori input_2_20'!$B$18</f>
        <v>0</v>
      </c>
      <c r="X12" s="1">
        <f>'Valori input_2_20'!W13*'Valori input_2_20'!$B$18</f>
        <v>0</v>
      </c>
      <c r="Y12" s="1">
        <f>'Valori input_2_20'!X13*'Valori input_2_20'!$B$18</f>
        <v>0</v>
      </c>
    </row>
    <row r="13" spans="1:25" x14ac:dyDescent="0.3">
      <c r="B13">
        <v>90</v>
      </c>
      <c r="C13" s="1">
        <f>'Valori input_2_20'!B14*'Valori input_2_20'!$B$18</f>
        <v>0.32435733819507784</v>
      </c>
      <c r="D13" s="1">
        <f>'Valori input_2_20'!C14*'Valori input_2_20'!$B$18</f>
        <v>0.37591344113903219</v>
      </c>
      <c r="E13" s="1">
        <f>'Valori input_2_20'!D14*'Valori input_2_20'!$B$18</f>
        <v>0.85875630352400578</v>
      </c>
      <c r="F13" s="1">
        <f>'Valori input_2_20'!E14*'Valori input_2_20'!$B$18</f>
        <v>1.3139493484607536</v>
      </c>
      <c r="G13" s="1">
        <f>'Valori input_2_20'!F14*'Valori input_2_20'!$B$18</f>
        <v>0.30099442982606056</v>
      </c>
      <c r="H13" s="1">
        <f>'Valori input_2_20'!G14*'Valori input_2_20'!$B$18</f>
        <v>0.46200598891161931</v>
      </c>
      <c r="I13" s="1">
        <f>'Valori input_2_20'!H14*'Valori input_2_20'!$B$18</f>
        <v>0.19431318681318732</v>
      </c>
      <c r="J13" s="1">
        <f>'Valori input_2_20'!I14*'Valori input_2_20'!$B$18</f>
        <v>9.7054625664979979E-2</v>
      </c>
      <c r="K13" s="1">
        <f>'Valori input_2_20'!J14*'Valori input_2_20'!$B$18</f>
        <v>0.25083579473530515</v>
      </c>
      <c r="L13" s="1">
        <f>'Valori input_2_20'!K14*'Valori input_2_20'!$B$18</f>
        <v>0.17877283625434776</v>
      </c>
      <c r="M13" s="1">
        <f>'Valori input_2_20'!L14*'Valori input_2_20'!$B$18</f>
        <v>0.47414500683994543</v>
      </c>
      <c r="N13" s="1">
        <f>'Valori input_2_20'!M14*'Valori input_2_20'!$B$18</f>
        <v>0.48619314979858524</v>
      </c>
      <c r="O13" s="1">
        <f>'Valori input_2_20'!N14*'Valori input_2_20'!$B$18</f>
        <v>0.83868255080588672</v>
      </c>
      <c r="P13" s="1">
        <f>'Valori input_2_20'!O14*'Valori input_2_20'!$B$18</f>
        <v>0.44003836010549047</v>
      </c>
      <c r="Q13" s="1">
        <f>'Valori input_2_20'!P14*'Valori input_2_20'!$B$18</f>
        <v>0.6076445028294265</v>
      </c>
      <c r="R13" s="1">
        <f>'Valori input_2_20'!Q14*'Valori input_2_20'!$B$18</f>
        <v>0.18824124120231783</v>
      </c>
      <c r="S13" s="1">
        <f>'Valori input_2_20'!R14*'Valori input_2_20'!$B$18</f>
        <v>0.17732298414116607</v>
      </c>
      <c r="T13" s="1">
        <f>'Valori input_2_20'!S14*'Valori input_2_20'!$B$18</f>
        <v>0</v>
      </c>
      <c r="U13" s="1">
        <f>'Valori input_2_20'!T14*'Valori input_2_20'!$B$18</f>
        <v>0</v>
      </c>
      <c r="V13" s="1">
        <f>'Valori input_2_20'!U14*'Valori input_2_20'!$B$18</f>
        <v>0</v>
      </c>
      <c r="W13" s="1">
        <f>'Valori input_2_20'!V14*'Valori input_2_20'!$B$18</f>
        <v>0</v>
      </c>
      <c r="X13" s="1">
        <f>'Valori input_2_20'!W14*'Valori input_2_20'!$B$18</f>
        <v>0</v>
      </c>
      <c r="Y13" s="1">
        <f>'Valori input_2_20'!X14*'Valori input_2_20'!$B$18</f>
        <v>0</v>
      </c>
    </row>
    <row r="16" spans="1:25" x14ac:dyDescent="0.3">
      <c r="A16" t="s">
        <v>18</v>
      </c>
      <c r="C16" s="8">
        <v>3.8635776476394094E-2</v>
      </c>
      <c r="D16" s="8">
        <v>3.1397378687565189E-2</v>
      </c>
      <c r="E16" s="8">
        <v>2.8313528960953196E-2</v>
      </c>
      <c r="F16" s="8">
        <v>4.9867126197150204E-2</v>
      </c>
      <c r="G16" s="8">
        <v>2.747026266701301E-2</v>
      </c>
      <c r="H16" s="8">
        <v>2.2587936883262692E-2</v>
      </c>
      <c r="I16" s="8">
        <v>7.824190149871086E-3</v>
      </c>
      <c r="J16" s="8">
        <v>2.9897471293654949E-3</v>
      </c>
      <c r="K16" s="8">
        <v>1.2140804031045806E-2</v>
      </c>
      <c r="L16" s="8">
        <v>1.375884967443978E-2</v>
      </c>
      <c r="M16" s="8">
        <v>1.167776233925872E-2</v>
      </c>
      <c r="N16" s="1"/>
      <c r="O16" s="1"/>
      <c r="P16" s="1"/>
      <c r="Q16" s="1"/>
      <c r="R16" s="1"/>
      <c r="S16" s="1"/>
      <c r="V16" t="s">
        <v>16</v>
      </c>
      <c r="W16">
        <v>12.282</v>
      </c>
      <c r="X16" t="s">
        <v>17</v>
      </c>
    </row>
    <row r="17" spans="1:24" x14ac:dyDescent="0.3">
      <c r="A17" t="s">
        <v>15</v>
      </c>
      <c r="C17" s="8">
        <v>1.4643491369882855E-2</v>
      </c>
      <c r="D17" s="8">
        <v>1.3258068901276957E-2</v>
      </c>
      <c r="E17" s="8">
        <v>4.0425302360992425E-3</v>
      </c>
      <c r="F17" s="8">
        <v>9.9074279147987054E-3</v>
      </c>
      <c r="G17" s="8">
        <v>6.9444065046957845E-3</v>
      </c>
      <c r="H17" s="8">
        <v>3.8669312943724822E-3</v>
      </c>
      <c r="I17" s="8">
        <v>1.6511352196260176E-3</v>
      </c>
      <c r="J17" s="8">
        <v>5.6631807185926919E-4</v>
      </c>
      <c r="K17" s="8">
        <v>2.5763016690353423E-3</v>
      </c>
      <c r="L17" s="8">
        <v>3.8487549894048434E-3</v>
      </c>
      <c r="M17" s="8">
        <v>3.5626568676531962E-3</v>
      </c>
      <c r="N17" s="1"/>
      <c r="O17" s="1"/>
      <c r="P17" s="1"/>
      <c r="Q17" s="1"/>
      <c r="R17" s="1"/>
      <c r="S17" s="1"/>
      <c r="V17" t="s">
        <v>19</v>
      </c>
      <c r="W17" s="8">
        <v>42.47</v>
      </c>
      <c r="X17" t="s">
        <v>17</v>
      </c>
    </row>
    <row r="18" spans="1:24" x14ac:dyDescent="0.3">
      <c r="A18" t="s">
        <v>44</v>
      </c>
      <c r="C18" s="8">
        <v>2.3992285106511239E-2</v>
      </c>
      <c r="D18" s="8">
        <v>1.8139309786288232E-2</v>
      </c>
      <c r="E18" s="8">
        <v>2.4270998724853953E-2</v>
      </c>
      <c r="F18" s="8">
        <v>3.9959698282351498E-2</v>
      </c>
      <c r="G18" s="8">
        <v>2.0525856162317224E-2</v>
      </c>
      <c r="H18" s="8">
        <v>1.872100558889021E-2</v>
      </c>
      <c r="I18" s="8">
        <v>6.1730549302450683E-3</v>
      </c>
      <c r="J18" s="8">
        <v>2.4234290575062259E-3</v>
      </c>
      <c r="K18" s="8">
        <v>9.564502362010464E-3</v>
      </c>
      <c r="L18" s="8">
        <v>9.9100946850349363E-3</v>
      </c>
      <c r="M18" s="8">
        <v>8.1151054716055229E-3</v>
      </c>
      <c r="N18" s="1"/>
      <c r="O18" s="1"/>
      <c r="P18" s="1"/>
      <c r="Q18" s="1"/>
      <c r="R18" s="1"/>
      <c r="S18" s="1"/>
    </row>
    <row r="19" spans="1:24" x14ac:dyDescent="0.3">
      <c r="A19" t="s">
        <v>21</v>
      </c>
      <c r="C19" s="8">
        <v>48.881429868097975</v>
      </c>
      <c r="D19" s="8">
        <v>48.869904707094022</v>
      </c>
      <c r="E19" s="8">
        <v>48.681579566563002</v>
      </c>
      <c r="F19" s="8">
        <v>48.722532591717439</v>
      </c>
      <c r="G19" s="8">
        <v>48.830917765693179</v>
      </c>
      <c r="H19" s="8">
        <v>48.758156652156082</v>
      </c>
      <c r="I19" s="8">
        <v>48.734456645408422</v>
      </c>
      <c r="J19" s="8">
        <v>48.721336940579043</v>
      </c>
      <c r="K19" s="8">
        <v>48.77363249088485</v>
      </c>
      <c r="L19" s="8">
        <v>48.828681725073217</v>
      </c>
      <c r="M19" s="8">
        <v>48.886854780570914</v>
      </c>
      <c r="N19" s="1"/>
      <c r="O19" s="1"/>
      <c r="P19" s="1"/>
      <c r="Q19" s="1"/>
      <c r="R19" s="1"/>
      <c r="S19" s="1"/>
    </row>
    <row r="20" spans="1:24" x14ac:dyDescent="0.3">
      <c r="A20" t="s">
        <v>22</v>
      </c>
      <c r="C20" s="8">
        <v>65.100038956943706</v>
      </c>
      <c r="D20" s="8">
        <v>49.207124102601384</v>
      </c>
      <c r="E20" s="8">
        <v>65.587041664386732</v>
      </c>
      <c r="F20" s="8">
        <v>108.07314470813579</v>
      </c>
      <c r="G20" s="8">
        <v>55.636769044271936</v>
      </c>
      <c r="H20" s="8">
        <v>50.668982691590244</v>
      </c>
      <c r="I20" s="8">
        <v>16.699443678476435</v>
      </c>
      <c r="J20" s="8">
        <v>6.5541328705162769</v>
      </c>
      <c r="K20" s="8">
        <v>25.894838921060142</v>
      </c>
      <c r="L20" s="8">
        <v>26.860774867660876</v>
      </c>
      <c r="M20" s="8">
        <v>22.021758685506278</v>
      </c>
      <c r="O20" s="1"/>
      <c r="P20" s="1"/>
      <c r="Q20" s="1"/>
      <c r="R20" s="1"/>
      <c r="S20" s="1"/>
    </row>
    <row r="21" spans="1:24" x14ac:dyDescent="0.3">
      <c r="A21" t="s">
        <v>23</v>
      </c>
      <c r="C21" s="8">
        <v>0.24679123487626359</v>
      </c>
      <c r="D21" s="8">
        <v>0.53201046165866628</v>
      </c>
      <c r="E21" s="8">
        <v>1.378158095832436</v>
      </c>
      <c r="F21" s="8">
        <v>4.2951876375427771</v>
      </c>
      <c r="G21" s="8">
        <v>0.15761227081956158</v>
      </c>
      <c r="H21" s="8">
        <v>0.1892143135572035</v>
      </c>
      <c r="I21" s="8">
        <v>0.56218896077785063</v>
      </c>
      <c r="J21" s="8">
        <v>0.16619251556895182</v>
      </c>
      <c r="K21" s="8">
        <v>0.14614255026671552</v>
      </c>
      <c r="L21" s="8">
        <v>0.11066416020730119</v>
      </c>
      <c r="M21" s="8">
        <v>4.2598888598397729E-2</v>
      </c>
    </row>
    <row r="22" spans="1:24" x14ac:dyDescent="0.3">
      <c r="A22" t="s">
        <v>24</v>
      </c>
      <c r="C22" s="8">
        <v>1950.1731032820508</v>
      </c>
      <c r="D22" s="8">
        <v>455.35231365857663</v>
      </c>
      <c r="E22" s="8">
        <v>639.2793484438605</v>
      </c>
      <c r="F22" s="8">
        <v>263.87861203330488</v>
      </c>
      <c r="G22" s="8">
        <v>2636.3883265579725</v>
      </c>
      <c r="H22" s="8">
        <v>2223.3362290231426</v>
      </c>
      <c r="I22" s="8">
        <v>288.22314271266026</v>
      </c>
      <c r="J22" s="8">
        <v>428.48976798866903</v>
      </c>
      <c r="K22" s="8">
        <v>1523.9014449860456</v>
      </c>
      <c r="L22" s="8">
        <v>1867.2021436550353</v>
      </c>
      <c r="M22" s="8">
        <v>3689.6145902988665</v>
      </c>
    </row>
    <row r="23" spans="1:24" x14ac:dyDescent="0.3">
      <c r="A23" t="s">
        <v>25</v>
      </c>
      <c r="C23">
        <v>0.70710769779278304</v>
      </c>
      <c r="D23">
        <v>0.44685707742308306</v>
      </c>
      <c r="E23">
        <v>0.6824497023484295</v>
      </c>
      <c r="F23">
        <v>0.51999879952947448</v>
      </c>
      <c r="G23">
        <v>0.97565139043026394</v>
      </c>
      <c r="H23">
        <v>1.0158251406797834</v>
      </c>
      <c r="I23">
        <v>0.52156270444428432</v>
      </c>
      <c r="J23">
        <v>0.58222026909694879</v>
      </c>
      <c r="K23">
        <v>0.8138395988169741</v>
      </c>
      <c r="L23">
        <v>0.80134371744253641</v>
      </c>
      <c r="M23">
        <v>1.0938220767882634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792A-6DC0-4FB6-9633-DBA1EB3184BA}">
  <dimension ref="A1:Z47"/>
  <sheetViews>
    <sheetView zoomScale="70" zoomScaleNormal="70" workbookViewId="0">
      <selection activeCell="M1" sqref="G1:M1048576"/>
    </sheetView>
  </sheetViews>
  <sheetFormatPr defaultRowHeight="14.4" x14ac:dyDescent="0.3"/>
  <cols>
    <col min="3" max="6" width="12.5546875" customWidth="1"/>
    <col min="7" max="7" width="12.5546875" style="16" customWidth="1"/>
    <col min="8" max="8" width="11.5546875" style="16" customWidth="1"/>
    <col min="9" max="11" width="12.5546875" style="16" customWidth="1"/>
    <col min="12" max="12" width="12.5546875" style="16" bestFit="1" customWidth="1"/>
    <col min="13" max="13" width="12.5546875" style="16" customWidth="1"/>
    <col min="14" max="15" width="12.5546875" bestFit="1" customWidth="1"/>
    <col min="16" max="16" width="11.5546875" bestFit="1" customWidth="1"/>
    <col min="17" max="18" width="12.5546875" bestFit="1" customWidth="1"/>
    <col min="19" max="19" width="11.5546875" bestFit="1" customWidth="1"/>
    <col min="20" max="20" width="12.5546875" bestFit="1" customWidth="1"/>
    <col min="21" max="21" width="11.5546875" bestFit="1" customWidth="1"/>
  </cols>
  <sheetData>
    <row r="1" spans="2:25" x14ac:dyDescent="0.3">
      <c r="B1" t="s">
        <v>0</v>
      </c>
      <c r="C1" t="s">
        <v>45</v>
      </c>
      <c r="D1" t="s">
        <v>46</v>
      </c>
      <c r="E1" t="s">
        <v>47</v>
      </c>
      <c r="F1" t="s">
        <v>48</v>
      </c>
      <c r="G1" s="16" t="s">
        <v>49</v>
      </c>
      <c r="H1" s="16" t="s">
        <v>50</v>
      </c>
      <c r="I1" s="16" t="s">
        <v>51</v>
      </c>
      <c r="J1" s="16" t="s">
        <v>52</v>
      </c>
      <c r="K1" s="16" t="s">
        <v>53</v>
      </c>
      <c r="L1" s="16" t="s">
        <v>54</v>
      </c>
      <c r="M1" s="16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s="3"/>
      <c r="W1" s="3"/>
      <c r="X1" s="3"/>
      <c r="Y1" s="3"/>
    </row>
    <row r="2" spans="2:25" x14ac:dyDescent="0.3">
      <c r="C2" t="str">
        <f>'Valori input_3_20'!B$1</f>
        <v>S01</v>
      </c>
      <c r="D2" t="str">
        <f>'Valori input_3_20'!C$1</f>
        <v>S02</v>
      </c>
      <c r="E2" t="str">
        <f>'Valori input_3_20'!D$1</f>
        <v>S03</v>
      </c>
      <c r="F2" t="str">
        <f>'Valori input_3_20'!E$1</f>
        <v>S04</v>
      </c>
      <c r="G2" s="16" t="str">
        <f>'Valori input_3_20'!F$1</f>
        <v>S05</v>
      </c>
      <c r="H2" s="16" t="str">
        <f>'Valori input_3_20'!G$1</f>
        <v>S06</v>
      </c>
      <c r="I2" s="16" t="str">
        <f>'Valori input_3_20'!H$1</f>
        <v>S07</v>
      </c>
      <c r="J2" s="16" t="str">
        <f>'Valori input_3_20'!I$1</f>
        <v>S08</v>
      </c>
      <c r="K2" s="16" t="str">
        <f>'Valori input_3_20'!J$1</f>
        <v>S09</v>
      </c>
      <c r="L2" s="16" t="str">
        <f>'Valori input_3_20'!K$1</f>
        <v>S10</v>
      </c>
      <c r="M2" s="16" t="str">
        <f>'Valori input_3_20'!L$1</f>
        <v>S11</v>
      </c>
      <c r="N2" t="str">
        <f>'Valori input_3_20'!M$1</f>
        <v>S12</v>
      </c>
      <c r="O2" t="str">
        <f>'Valori input_3_20'!N$1</f>
        <v>S13</v>
      </c>
      <c r="P2" t="str">
        <f>'Valori input_3_20'!O$1</f>
        <v>S14</v>
      </c>
      <c r="Q2" t="str">
        <f>'Valori input_3_20'!P$1</f>
        <v>S15</v>
      </c>
      <c r="R2" t="str">
        <f>'Valori input_3_20'!Q$1</f>
        <v>S16</v>
      </c>
      <c r="S2" t="str">
        <f>'Valori input_3_20'!R$1</f>
        <v>S17</v>
      </c>
      <c r="T2" t="str">
        <f>'Valori input_3_20'!S$1</f>
        <v>S18</v>
      </c>
      <c r="U2" t="str">
        <f>'Valori input_3_20'!T$1</f>
        <v>S19</v>
      </c>
    </row>
    <row r="3" spans="2:25" x14ac:dyDescent="0.3">
      <c r="B3" t="s">
        <v>0</v>
      </c>
      <c r="C3" t="s">
        <v>43</v>
      </c>
      <c r="D3" t="s">
        <v>43</v>
      </c>
      <c r="E3" t="s">
        <v>43</v>
      </c>
      <c r="F3" t="s">
        <v>43</v>
      </c>
      <c r="G3" s="16" t="s">
        <v>43</v>
      </c>
      <c r="H3" s="16" t="s">
        <v>43</v>
      </c>
      <c r="I3" s="16" t="s">
        <v>43</v>
      </c>
      <c r="J3" s="16" t="s">
        <v>43</v>
      </c>
      <c r="K3" s="16" t="s">
        <v>43</v>
      </c>
      <c r="L3" s="16" t="s">
        <v>43</v>
      </c>
      <c r="M3" s="16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</row>
    <row r="4" spans="2:25" x14ac:dyDescent="0.3">
      <c r="B4">
        <v>0</v>
      </c>
      <c r="C4" s="1">
        <f>'Valori input_3_20'!B5*'Valori input_3_20'!$B$19</f>
        <v>0</v>
      </c>
      <c r="D4" s="1">
        <f>'Valori input_3_20'!C5*'Valori input_3_20'!$B$19</f>
        <v>0</v>
      </c>
      <c r="E4" s="1">
        <f>'Valori input_3_20'!D5*'Valori input_3_20'!$B$19</f>
        <v>0</v>
      </c>
      <c r="F4" s="1">
        <f>'Valori input_3_20'!E5*'Valori input_3_20'!$B$19</f>
        <v>0</v>
      </c>
      <c r="G4" s="17">
        <f>'Valori input_3_20'!F5*'Valori input_3_20'!$B$19</f>
        <v>0</v>
      </c>
      <c r="H4" s="17">
        <f>'Valori input_3_20'!G5*'Valori input_3_20'!$B$19</f>
        <v>0</v>
      </c>
      <c r="I4" s="17">
        <f>'Valori input_3_20'!H5*'Valori input_3_20'!$B$19</f>
        <v>0</v>
      </c>
      <c r="J4" s="17">
        <f>'Valori input_3_20'!I5*'Valori input_3_20'!$B$19</f>
        <v>0</v>
      </c>
      <c r="K4" s="17">
        <f>'Valori input_3_20'!J5*'Valori input_3_20'!$B$19</f>
        <v>0</v>
      </c>
      <c r="L4" s="17">
        <f>'Valori input_3_20'!K5*'Valori input_3_20'!$B$19</f>
        <v>0</v>
      </c>
      <c r="M4" s="17">
        <f>'Valori input_3_20'!L5*'Valori input_3_20'!$B$19</f>
        <v>0</v>
      </c>
      <c r="N4" s="1">
        <f>'Valori input_3_20'!M5*'Valori input_3_20'!$B$19</f>
        <v>0</v>
      </c>
      <c r="O4" s="1">
        <f>'Valori input_3_20'!N5*'Valori input_3_20'!$B$19</f>
        <v>0</v>
      </c>
      <c r="P4" s="1">
        <f>'Valori input_3_20'!O5*'Valori input_3_20'!$B$19</f>
        <v>0</v>
      </c>
      <c r="Q4" s="1">
        <f>'Valori input_3_20'!P5*'Valori input_3_20'!$B$19</f>
        <v>0</v>
      </c>
      <c r="R4" s="1">
        <f>'Valori input_3_20'!Q5*'Valori input_3_20'!$B$19</f>
        <v>0</v>
      </c>
      <c r="S4" s="1">
        <f>'Valori input_3_20'!R5*'Valori input_3_20'!$B$19</f>
        <v>0</v>
      </c>
      <c r="T4" s="1">
        <f>'Valori input_3_20'!S5*'Valori input_3_20'!$B$19</f>
        <v>0</v>
      </c>
      <c r="U4" s="1">
        <f>'Valori input_3_20'!T5*'Valori input_3_20'!$B$19</f>
        <v>0</v>
      </c>
      <c r="V4" s="1"/>
      <c r="W4" s="1"/>
      <c r="X4" s="1"/>
      <c r="Y4" s="1"/>
    </row>
    <row r="5" spans="2:25" x14ac:dyDescent="0.3">
      <c r="B5">
        <v>5</v>
      </c>
      <c r="C5" s="1">
        <f>'Valori input_3_20'!B6*'Valori input_3_20'!$B$19</f>
        <v>5.4795818463190902E-3</v>
      </c>
      <c r="D5" s="1">
        <f>'Valori input_3_20'!C6*'Valori input_3_20'!$B$19</f>
        <v>7.6991853765151505E-3</v>
      </c>
      <c r="E5" s="1">
        <f>'Valori input_3_20'!D6*'Valori input_3_20'!$B$19</f>
        <v>1.9138565602308005E-2</v>
      </c>
      <c r="F5" s="1">
        <f>'Valori input_3_20'!E6*'Valori input_3_20'!$B$19</f>
        <v>1.6889303441154104E-2</v>
      </c>
      <c r="G5" s="17">
        <f>'Valori input_3_20'!F6*'Valori input_3_20'!$B$19</f>
        <v>2.8995712776713729E-4</v>
      </c>
      <c r="H5" s="17">
        <f>'Valori input_3_20'!G6*'Valori input_3_20'!$B$19</f>
        <v>5.0755939524840957E-3</v>
      </c>
      <c r="I5" s="17">
        <f>'Valori input_3_20'!H6*'Valori input_3_20'!$B$19</f>
        <v>1.0083564487709716E-2</v>
      </c>
      <c r="J5" s="17">
        <f>'Valori input_3_20'!I6*'Valori input_3_20'!$B$19</f>
        <v>6.7627016302940724E-3</v>
      </c>
      <c r="K5" s="17">
        <f>'Valori input_3_20'!J6*'Valori input_3_20'!$B$19</f>
        <v>1.1750427539030361E-2</v>
      </c>
      <c r="L5" s="17">
        <f>'Valori input_3_20'!K6*'Valori input_3_20'!$B$19</f>
        <v>6.7658257320516177E-3</v>
      </c>
      <c r="M5" s="17">
        <f>'Valori input_3_20'!L6*'Valori input_3_20'!$B$19</f>
        <v>3.3670789467748412E-4</v>
      </c>
      <c r="N5" s="1">
        <f>'Valori input_3_20'!M6*'Valori input_3_20'!$B$19</f>
        <v>2.6748445353099305E-3</v>
      </c>
      <c r="O5" s="1">
        <f>'Valori input_3_20'!N6*'Valori input_3_20'!$B$19</f>
        <v>3.7568853949411368E-3</v>
      </c>
      <c r="P5" s="1">
        <f>'Valori input_3_20'!O6*'Valori input_3_20'!$B$19</f>
        <v>2.3264171284825674E-3</v>
      </c>
      <c r="Q5" s="1">
        <f>'Valori input_3_20'!P6*'Valori input_3_20'!$B$19</f>
        <v>3.2827664953921525E-3</v>
      </c>
      <c r="R5" s="1">
        <f>'Valori input_3_20'!Q6*'Valori input_3_20'!$B$19</f>
        <v>3.0020958027302679E-3</v>
      </c>
      <c r="S5" s="1">
        <f>'Valori input_3_20'!R6*'Valori input_3_20'!$B$19</f>
        <v>3.0048206835428782E-3</v>
      </c>
      <c r="T5" s="1">
        <f>'Valori input_3_20'!S6*'Valori input_3_20'!$B$19</f>
        <v>1.9474196689390508E-3</v>
      </c>
      <c r="U5" s="1">
        <f>'Valori input_3_20'!T6*'Valori input_3_20'!$B$19</f>
        <v>4.7671220103503017E-3</v>
      </c>
      <c r="V5" s="1"/>
      <c r="W5" s="1"/>
      <c r="X5" s="1"/>
      <c r="Y5" s="1"/>
    </row>
    <row r="6" spans="2:25" x14ac:dyDescent="0.3">
      <c r="B6">
        <v>10</v>
      </c>
      <c r="C6" s="1">
        <f>'Valori input_3_20'!B7*'Valori input_3_20'!$B$19</f>
        <v>1.9202223415342959E-2</v>
      </c>
      <c r="D6" s="1">
        <f>'Valori input_3_20'!C7*'Valori input_3_20'!$B$19</f>
        <v>1.8627061394794357E-2</v>
      </c>
      <c r="E6" s="1">
        <f>'Valori input_3_20'!D7*'Valori input_3_20'!$B$19</f>
        <v>5.6023077688252432E-2</v>
      </c>
      <c r="F6" s="1">
        <f>'Valori input_3_20'!E7*'Valori input_3_20'!$B$19</f>
        <v>5.0234851260868067E-2</v>
      </c>
      <c r="G6" s="17">
        <f>'Valori input_3_20'!F7*'Valori input_3_20'!$B$19</f>
        <v>5.6334527680546621E-3</v>
      </c>
      <c r="H6" s="17">
        <f>'Valori input_3_20'!G7*'Valori input_3_20'!$B$19</f>
        <v>1.4938804895608473E-2</v>
      </c>
      <c r="I6" s="17">
        <f>'Valori input_3_20'!H7*'Valori input_3_20'!$B$19</f>
        <v>4.2445177160203337E-2</v>
      </c>
      <c r="J6" s="17">
        <f>'Valori input_3_20'!I7*'Valori input_3_20'!$B$19</f>
        <v>1.8442163374450194E-2</v>
      </c>
      <c r="K6" s="17">
        <f>'Valori input_3_20'!J7*'Valori input_3_20'!$B$19</f>
        <v>4.6100660157040452E-2</v>
      </c>
      <c r="L6" s="17">
        <f>'Valori input_3_20'!K7*'Valori input_3_20'!$B$19</f>
        <v>1.8311556687758676E-2</v>
      </c>
      <c r="M6" s="17">
        <f>'Valori input_3_20'!L7*'Valori input_3_20'!$B$19</f>
        <v>1.1762329120743247E-2</v>
      </c>
      <c r="N6" s="1">
        <f>'Valori input_3_20'!M7*'Valori input_3_20'!$B$19</f>
        <v>8.2289803220038406E-3</v>
      </c>
      <c r="O6" s="1">
        <f>'Valori input_3_20'!N7*'Valori input_3_20'!$B$19</f>
        <v>9.2250922509229342E-3</v>
      </c>
      <c r="P6" s="1">
        <f>'Valori input_3_20'!O7*'Valori input_3_20'!$B$19</f>
        <v>7.6223260388496531E-3</v>
      </c>
      <c r="Q6" s="1">
        <f>'Valori input_3_20'!P7*'Valori input_3_20'!$B$19</f>
        <v>1.1336758828806789E-2</v>
      </c>
      <c r="R6" s="1">
        <f>'Valori input_3_20'!Q7*'Valori input_3_20'!$B$19</f>
        <v>8.4964975548968147E-3</v>
      </c>
      <c r="S6" s="1">
        <f>'Valori input_3_20'!R7*'Valori input_3_20'!$B$19</f>
        <v>8.7982879007330612E-3</v>
      </c>
      <c r="T6" s="1">
        <f>'Valori input_3_20'!S7*'Valori input_3_20'!$B$19</f>
        <v>7.3239913636174384E-3</v>
      </c>
      <c r="U6" s="1">
        <f>'Valori input_3_20'!T7*'Valori input_3_20'!$B$19</f>
        <v>1.4184810480675174E-2</v>
      </c>
      <c r="V6" s="1"/>
      <c r="W6" s="1"/>
      <c r="X6" s="1"/>
      <c r="Y6" s="1"/>
    </row>
    <row r="7" spans="2:25" x14ac:dyDescent="0.3">
      <c r="B7">
        <v>15</v>
      </c>
      <c r="C7" s="1">
        <f>'Valori input_3_20'!B8*'Valori input_3_20'!$B$19</f>
        <v>3.9494046679089324E-2</v>
      </c>
      <c r="D7" s="1">
        <f>'Valori input_3_20'!C8*'Valori input_3_20'!$B$19</f>
        <v>2.806477250149024E-2</v>
      </c>
      <c r="E7" s="1">
        <f>'Valori input_3_20'!D8*'Valori input_3_20'!$B$19</f>
        <v>0.10229782154580759</v>
      </c>
      <c r="F7" s="1">
        <f>'Valori input_3_20'!E8*'Valori input_3_20'!$B$19</f>
        <v>9.4456843998800832E-2</v>
      </c>
      <c r="G7" s="17">
        <f>'Valori input_3_20'!F8*'Valori input_3_20'!$B$19</f>
        <v>1.2737402398359412E-2</v>
      </c>
      <c r="H7" s="17">
        <f>'Valori input_3_20'!G8*'Valori input_3_20'!$B$19</f>
        <v>2.4028077753779742E-2</v>
      </c>
      <c r="I7" s="17">
        <f>'Valori input_3_20'!H8*'Valori input_3_20'!$B$19</f>
        <v>7.7824880933689639E-2</v>
      </c>
      <c r="J7" s="17">
        <f>'Valori input_3_20'!I8*'Valori input_3_20'!$B$19</f>
        <v>2.8913999827482283E-2</v>
      </c>
      <c r="K7" s="17">
        <f>'Valori input_3_20'!J8*'Valori input_3_20'!$B$19</f>
        <v>8.3632150935069483E-2</v>
      </c>
      <c r="L7" s="17">
        <f>'Valori input_3_20'!K8*'Valori input_3_20'!$B$19</f>
        <v>2.8131591201687456E-2</v>
      </c>
      <c r="M7" s="17">
        <f>'Valori input_3_20'!L8*'Valori input_3_20'!$B$19</f>
        <v>4.666771420233868E-2</v>
      </c>
      <c r="N7" s="1">
        <f>'Valori input_3_20'!M8*'Valori input_3_20'!$B$19</f>
        <v>1.3135701507794787E-2</v>
      </c>
      <c r="O7" s="1">
        <f>'Valori input_3_20'!N8*'Valori input_3_20'!$B$19</f>
        <v>1.4131771752500353E-2</v>
      </c>
      <c r="P7" s="1">
        <f>'Valori input_3_20'!O8*'Valori input_3_20'!$B$19</f>
        <v>1.2521041780938519E-2</v>
      </c>
      <c r="Q7" s="1">
        <f>'Valori input_3_20'!P8*'Valori input_3_20'!$B$19</f>
        <v>2.2061822037354312E-2</v>
      </c>
      <c r="R7" s="1">
        <f>'Valori input_3_20'!Q8*'Valori input_3_20'!$B$19</f>
        <v>1.536922002152465E-2</v>
      </c>
      <c r="S7" s="1">
        <f>'Valori input_3_20'!R8*'Valori input_3_20'!$B$19</f>
        <v>1.1316716747011546E-2</v>
      </c>
      <c r="T7" s="1">
        <f>'Valori input_3_20'!S8*'Valori input_3_20'!$B$19</f>
        <v>1.2298378561449561E-2</v>
      </c>
      <c r="U7" s="1">
        <f>'Valori input_3_20'!T8*'Valori input_3_20'!$B$19</f>
        <v>2.4523287798964941E-2</v>
      </c>
      <c r="V7" s="1"/>
      <c r="W7" s="1"/>
      <c r="X7" s="1"/>
      <c r="Y7" s="1"/>
    </row>
    <row r="8" spans="2:25" x14ac:dyDescent="0.3">
      <c r="B8">
        <v>20</v>
      </c>
      <c r="C8" s="1">
        <f>'Valori input_3_20'!B9*'Valori input_3_20'!$B$19</f>
        <v>5.6106496541704784E-2</v>
      </c>
      <c r="D8" s="1">
        <f>'Valori input_3_20'!C9*'Valori input_3_20'!$B$19</f>
        <v>3.7519040996092781E-2</v>
      </c>
      <c r="E8" s="1">
        <f>'Valori input_3_20'!D9*'Valori input_3_20'!$B$19</f>
        <v>0.13395006465731629</v>
      </c>
      <c r="F8" s="1">
        <f>'Valori input_3_20'!E9*'Valori input_3_20'!$B$19</f>
        <v>0.12820213864552454</v>
      </c>
      <c r="G8" s="17">
        <f>'Valori input_3_20'!F9*'Valori input_3_20'!$B$19</f>
        <v>1.8557256177122079E-2</v>
      </c>
      <c r="H8" s="17">
        <f>'Valori input_3_20'!G9*'Valori input_3_20'!$B$19</f>
        <v>3.1839452843772598E-2</v>
      </c>
      <c r="I8" s="17">
        <f>'Valori input_3_20'!H9*'Valori input_3_20'!$B$19</f>
        <v>0.10338270441897404</v>
      </c>
      <c r="J8" s="17">
        <f>'Valori input_3_20'!I9*'Valori input_3_20'!$B$19</f>
        <v>3.9661864918485508E-2</v>
      </c>
      <c r="K8" s="17">
        <f>'Valori input_3_20'!J9*'Valori input_3_20'!$B$19</f>
        <v>0.1096706570309485</v>
      </c>
      <c r="L8" s="17">
        <f>'Valori input_3_20'!K9*'Valori input_3_20'!$B$19</f>
        <v>3.7239433533295056E-2</v>
      </c>
      <c r="M8" s="17">
        <f>'Valori input_3_20'!L9*'Valori input_3_20'!$B$19</f>
        <v>5.9889110866686183E-2</v>
      </c>
      <c r="N8" s="1">
        <f>'Valori input_3_20'!M9*'Valori input_3_20'!$B$19</f>
        <v>1.7480194224380255E-2</v>
      </c>
      <c r="O8" s="1">
        <f>'Valori input_3_20'!N9*'Valori input_3_20'!$B$19</f>
        <v>1.9051820952992442E-2</v>
      </c>
      <c r="P8" s="1">
        <f>'Valori input_3_20'!O9*'Valori input_3_20'!$B$19</f>
        <v>1.7230617919086318E-2</v>
      </c>
      <c r="Q8" s="1">
        <f>'Valori input_3_20'!P9*'Valori input_3_20'!$B$19</f>
        <v>3.4805480792757741E-2</v>
      </c>
      <c r="R8" s="1">
        <f>'Valori input_3_20'!Q9*'Valori input_3_20'!$B$19</f>
        <v>1.9655231010328119E-2</v>
      </c>
      <c r="S8" s="1">
        <f>'Valori input_3_20'!R9*'Valori input_3_20'!$B$19</f>
        <v>2.0352796212629184E-2</v>
      </c>
      <c r="T8" s="1">
        <f>'Valori input_3_20'!S9*'Valori input_3_20'!$B$19</f>
        <v>1.6722408026756168E-2</v>
      </c>
      <c r="U8" s="1">
        <f>'Valori input_3_20'!T9*'Valori input_3_20'!$B$19</f>
        <v>3.4745209566879771E-2</v>
      </c>
      <c r="V8" s="1"/>
      <c r="W8" s="1"/>
      <c r="X8" s="1"/>
      <c r="Y8" s="1"/>
    </row>
    <row r="9" spans="2:25" x14ac:dyDescent="0.3">
      <c r="B9">
        <v>25</v>
      </c>
      <c r="C9" s="1">
        <f>'Valori input_3_20'!B10*'Valori input_3_20'!$B$19</f>
        <v>7.2071503016138877E-2</v>
      </c>
      <c r="D9" s="1">
        <f>'Valori input_3_20'!C10*'Valori input_3_20'!$B$19</f>
        <v>5.0450360951056407E-2</v>
      </c>
      <c r="E9" s="1">
        <f>'Valori input_3_20'!D10*'Valori input_3_20'!$B$19</f>
        <v>0.16048940614741905</v>
      </c>
      <c r="F9" s="1">
        <f>'Valori input_3_20'!E10*'Valori input_3_20'!$B$19</f>
        <v>0.16281355141743564</v>
      </c>
      <c r="G9" s="17">
        <f>'Valori input_3_20'!F10*'Valori input_3_20'!$B$19</f>
        <v>2.5143425222127484E-2</v>
      </c>
      <c r="H9" s="17">
        <f>'Valori input_3_20'!G10*'Valori input_3_20'!$B$19</f>
        <v>4.1522678185745232E-2</v>
      </c>
      <c r="I9" s="17">
        <f>'Valori input_3_20'!H10*'Valori input_3_20'!$B$19</f>
        <v>0.12935922262347149</v>
      </c>
      <c r="J9" s="17">
        <f>'Valori input_3_20'!I10*'Valori input_3_20'!$B$19</f>
        <v>5.3601311136030255E-2</v>
      </c>
      <c r="K9" s="17">
        <f>'Valori input_3_20'!J10*'Valori input_3_20'!$B$19</f>
        <v>0.13181074272264245</v>
      </c>
      <c r="L9" s="17">
        <f>'Valori input_3_20'!K10*'Valori input_3_20'!$B$19</f>
        <v>5.0866957021941293E-2</v>
      </c>
      <c r="M9" s="17">
        <f>'Valori input_3_20'!L10*'Valori input_3_20'!$B$19</f>
        <v>7.299827156614036E-2</v>
      </c>
      <c r="N9" s="1">
        <f>'Valori input_3_20'!M10*'Valori input_3_20'!$B$19</f>
        <v>2.245506431552954E-2</v>
      </c>
      <c r="O9" s="1">
        <f>'Valori input_3_20'!N10*'Valori input_3_20'!$B$19</f>
        <v>2.3958500454569862E-2</v>
      </c>
      <c r="P9" s="1">
        <f>'Valori input_3_20'!O10*'Valori input_3_20'!$B$19</f>
        <v>2.2053677819598584E-2</v>
      </c>
      <c r="Q9" s="1">
        <f>'Valori input_3_20'!P10*'Valori input_3_20'!$B$19</f>
        <v>5.2993230568469038E-2</v>
      </c>
      <c r="R9" s="1">
        <f>'Valori input_3_20'!Q10*'Valori input_3_20'!$B$19</f>
        <v>2.6018163623662178E-2</v>
      </c>
      <c r="S9" s="1">
        <f>'Valori input_3_20'!R10*'Valori input_3_20'!$B$19</f>
        <v>4.8660801141399743E-2</v>
      </c>
      <c r="T9" s="1">
        <f>'Valori input_3_20'!S10*'Valori input_3_20'!$B$19</f>
        <v>2.1590957199102832E-2</v>
      </c>
      <c r="U9" s="1">
        <f>'Valori input_3_20'!T10*'Valori input_3_20'!$B$19</f>
        <v>5.853419739848028E-2</v>
      </c>
      <c r="V9" s="1"/>
      <c r="W9" s="1"/>
      <c r="X9" s="1"/>
      <c r="Y9" s="1"/>
    </row>
    <row r="10" spans="2:25" x14ac:dyDescent="0.3">
      <c r="B10">
        <v>30</v>
      </c>
      <c r="C10" s="1">
        <f>'Valori input_3_20'!B11*'Valori input_3_20'!$B$19</f>
        <v>8.2035814673278223E-2</v>
      </c>
      <c r="D10" s="1">
        <f>'Valori input_3_20'!C11*'Valori input_3_20'!$B$19</f>
        <v>6.0600039737731017E-2</v>
      </c>
      <c r="E10" s="1">
        <f>'Valori input_3_20'!D11*'Valori input_3_20'!$B$19</f>
        <v>0.19649855764448468</v>
      </c>
      <c r="F10" s="1">
        <f>'Valori input_3_20'!E11*'Valori input_3_20'!$B$19</f>
        <v>0.19849095572803904</v>
      </c>
      <c r="G10" s="17">
        <f>'Valori input_3_20'!F11*'Valori input_3_20'!$B$19</f>
        <v>3.0839011660418452E-2</v>
      </c>
      <c r="H10" s="17">
        <f>'Valori input_3_20'!G11*'Valori input_3_20'!$B$19</f>
        <v>4.8506119510439247E-2</v>
      </c>
      <c r="I10" s="17">
        <f>'Valori input_3_20'!H11*'Valori input_3_20'!$B$19</f>
        <v>0.16158127038956074</v>
      </c>
      <c r="J10" s="17">
        <f>'Valori input_3_20'!I11*'Valori input_3_20'!$B$19</f>
        <v>6.5298024670059365E-2</v>
      </c>
      <c r="K10" s="17">
        <f>'Valori input_3_20'!J11*'Valori input_3_20'!$B$19</f>
        <v>0.16353138044537649</v>
      </c>
      <c r="L10" s="17">
        <f>'Valori input_3_20'!K11*'Valori input_3_20'!$B$19</f>
        <v>6.1741583805845511E-2</v>
      </c>
      <c r="M10" s="17">
        <f>'Valori input_3_20'!L11*'Valori input_3_20'!$B$19</f>
        <v>8.5478910862196417E-2</v>
      </c>
      <c r="N10" s="1">
        <f>'Valori input_3_20'!M11*'Valori input_3_20'!$B$19</f>
        <v>2.6612147542380105E-2</v>
      </c>
      <c r="O10" s="1">
        <f>'Valori input_3_20'!N11*'Valori input_3_20'!$B$19</f>
        <v>2.8049628322370356E-2</v>
      </c>
      <c r="P10" s="1">
        <f>'Valori input_3_20'!O11*'Valori input_3_20'!$B$19</f>
        <v>2.6101265343950283E-2</v>
      </c>
      <c r="Q10" s="1">
        <f>'Valori input_3_20'!P11*'Valori input_3_20'!$B$19</f>
        <v>6.9814860125601633E-2</v>
      </c>
      <c r="R10" s="1">
        <f>'Valori input_3_20'!Q11*'Valori input_3_20'!$B$19</f>
        <v>3.0417461246530837E-2</v>
      </c>
      <c r="S10" s="1">
        <f>'Valori input_3_20'!R11*'Valori input_3_20'!$B$19</f>
        <v>7.2969584297109882E-2</v>
      </c>
      <c r="T10" s="1">
        <f>'Valori input_3_20'!S11*'Valori input_3_20'!$B$19</f>
        <v>2.5824478218534692E-2</v>
      </c>
      <c r="U10" s="1">
        <f>'Valori input_3_20'!T11*'Valori input_3_20'!$B$19</f>
        <v>7.8465196512658E-2</v>
      </c>
      <c r="V10" s="1"/>
      <c r="W10" s="1"/>
      <c r="X10" s="1"/>
      <c r="Y10" s="1"/>
    </row>
    <row r="11" spans="2:25" x14ac:dyDescent="0.3">
      <c r="B11">
        <v>35</v>
      </c>
      <c r="C11" s="1">
        <f>'Valori input_3_20'!B12*'Valori input_3_20'!$B$19</f>
        <v>9.1321100337933919E-2</v>
      </c>
      <c r="D11" s="1">
        <f>'Valori input_3_20'!C12*'Valori input_3_20'!$B$19</f>
        <v>7.2372342539241241E-2</v>
      </c>
      <c r="E11" s="1">
        <f>'Valori input_3_20'!D12*'Valori input_3_20'!$B$19</f>
        <v>0.24697105341689071</v>
      </c>
      <c r="F11" s="1">
        <f>'Valori input_3_20'!E12*'Valori input_3_20'!$B$19</f>
        <v>0.24394550118258443</v>
      </c>
      <c r="G11" s="17">
        <f>'Valori input_3_20'!F12*'Valori input_3_20'!$B$19</f>
        <v>3.6886688896712864E-2</v>
      </c>
      <c r="H11" s="17">
        <f>'Valori input_3_20'!G12*'Valori input_3_20'!$B$19</f>
        <v>5.5795536357091433E-2</v>
      </c>
      <c r="I11" s="17">
        <f>'Valori input_3_20'!H12*'Valori input_3_20'!$B$19</f>
        <v>0.20304949320493401</v>
      </c>
      <c r="J11" s="17">
        <f>'Valori input_3_20'!I12*'Valori input_3_20'!$B$19</f>
        <v>7.9289226257224246E-2</v>
      </c>
      <c r="K11" s="17">
        <f>'Valori input_3_20'!J12*'Valori input_3_20'!$B$19</f>
        <v>0.20827127121604996</v>
      </c>
      <c r="L11" s="17">
        <f>'Valori input_3_20'!K12*'Valori input_3_20'!$B$19</f>
        <v>7.4848659161256881E-2</v>
      </c>
      <c r="M11" s="17">
        <f>'Valori input_3_20'!L12*'Valori input_3_20'!$B$19</f>
        <v>9.8677860333565251E-2</v>
      </c>
      <c r="N11" s="1">
        <f>'Valori input_3_20'!M12*'Valori input_3_20'!$B$19</f>
        <v>3.1092938069682448E-2</v>
      </c>
      <c r="O11" s="1">
        <f>'Valori input_3_20'!N12*'Valori input_3_20'!$B$19</f>
        <v>3.2354671372800896E-2</v>
      </c>
      <c r="P11" s="1">
        <f>'Valori input_3_20'!O12*'Valori input_3_20'!$B$19</f>
        <v>3.0508218115791685E-2</v>
      </c>
      <c r="Q11" s="1">
        <f>'Valori input_3_20'!P12*'Valori input_3_20'!$B$19</f>
        <v>9.2529157491232236E-2</v>
      </c>
      <c r="R11" s="1">
        <f>'Valori input_3_20'!Q12*'Valori input_3_20'!$B$19</f>
        <v>3.4911164397787367E-2</v>
      </c>
      <c r="S11" s="1">
        <f>'Valori input_3_20'!R12*'Valori input_3_20'!$B$19</f>
        <v>0.10081281480360589</v>
      </c>
      <c r="T11" s="1">
        <f>'Valori input_3_20'!S12*'Valori input_3_20'!$B$19</f>
        <v>3.0206172473646653E-2</v>
      </c>
      <c r="U11" s="1">
        <f>'Valori input_3_20'!T12*'Valori input_3_20'!$B$19</f>
        <v>0.10127511772110585</v>
      </c>
      <c r="V11" s="1"/>
      <c r="W11" s="1"/>
      <c r="X11" s="1"/>
      <c r="Y11" s="1"/>
    </row>
    <row r="12" spans="2:25" x14ac:dyDescent="0.3">
      <c r="B12">
        <v>40</v>
      </c>
      <c r="C12" s="1">
        <f>'Valori input_3_20'!B13*'Valori input_3_20'!$B$19</f>
        <v>0.1009695859520577</v>
      </c>
      <c r="D12" s="1">
        <f>'Valori input_3_20'!C13*'Valori input_3_20'!$B$19</f>
        <v>8.4707596529571633E-2</v>
      </c>
      <c r="E12" s="1">
        <f>'Valori input_3_20'!D13*'Valori input_3_20'!$B$19</f>
        <v>0.28886899433005109</v>
      </c>
      <c r="F12" s="1">
        <f>'Valori input_3_20'!E13*'Valori input_3_20'!$B$19</f>
        <v>0.28352043705653091</v>
      </c>
      <c r="G12" s="17">
        <f>'Valori input_3_20'!F13*'Valori input_3_20'!$B$19</f>
        <v>4.3100055920303186E-2</v>
      </c>
      <c r="H12" s="17">
        <f>'Valori input_3_20'!G13*'Valori input_3_20'!$B$19</f>
        <v>6.3588912886969315E-2</v>
      </c>
      <c r="I12" s="17">
        <f>'Valori input_3_20'!H13*'Valori input_3_20'!$B$19</f>
        <v>0.23825474084541487</v>
      </c>
      <c r="J12" s="17">
        <f>'Valori input_3_20'!I13*'Valori input_3_20'!$B$19</f>
        <v>9.4056758388682979E-2</v>
      </c>
      <c r="K12" s="17">
        <f>'Valori input_3_20'!J13*'Valori input_3_20'!$B$19</f>
        <v>0.24479137934204986</v>
      </c>
      <c r="L12" s="17">
        <f>'Valori input_3_20'!K13*'Valori input_3_20'!$B$19</f>
        <v>8.8695318706001891E-2</v>
      </c>
      <c r="M12" s="17">
        <f>'Valori input_3_20'!L13*'Valori input_3_20'!$B$19</f>
        <v>0.1125277784013109</v>
      </c>
      <c r="N12" s="1">
        <f>'Valori input_3_20'!M13*'Valori input_3_20'!$B$19</f>
        <v>3.5471505238947182E-2</v>
      </c>
      <c r="O12" s="1">
        <f>'Valori input_3_20'!N13*'Valori input_3_20'!$B$19</f>
        <v>3.6632975025402699E-2</v>
      </c>
      <c r="P12" s="1">
        <f>'Valori input_3_20'!O13*'Valori input_3_20'!$B$19</f>
        <v>3.4763859204478817E-2</v>
      </c>
      <c r="Q12" s="1">
        <f>'Valori input_3_20'!P13*'Valori input_3_20'!$B$19</f>
        <v>0.11705815186363248</v>
      </c>
      <c r="R12" s="1">
        <f>'Valori input_3_20'!Q13*'Valori input_3_20'!$B$19</f>
        <v>3.9555916394464145E-2</v>
      </c>
      <c r="S12" s="1">
        <f>'Valori input_3_20'!R13*'Valori input_3_20'!$B$19</f>
        <v>0.12863442789511292</v>
      </c>
      <c r="T12" s="1">
        <f>'Valori input_3_20'!S13*'Valori input_3_20'!$B$19</f>
        <v>3.4503196308369941E-2</v>
      </c>
      <c r="U12" s="1">
        <f>'Valori input_3_20'!T13*'Valori input_3_20'!$B$19</f>
        <v>0.12474940556669305</v>
      </c>
      <c r="V12" s="1"/>
      <c r="W12" s="1"/>
      <c r="X12" s="1"/>
      <c r="Y12" s="1"/>
    </row>
    <row r="13" spans="2:25" x14ac:dyDescent="0.3">
      <c r="B13">
        <v>45</v>
      </c>
      <c r="C13" s="1">
        <f>'Valori input_3_20'!B14*'Valori input_3_20'!$B$19</f>
        <v>0.11361841897482892</v>
      </c>
      <c r="D13" s="1">
        <f>'Valori input_3_20'!C14*'Valori input_3_20'!$B$19</f>
        <v>0.10138088615140096</v>
      </c>
      <c r="E13" s="1">
        <f>'Valori input_3_20'!D14*'Valori input_3_20'!$B$19</f>
        <v>0.33034914950761007</v>
      </c>
      <c r="F13" s="1">
        <f>'Valori input_3_20'!E14*'Valori input_3_20'!$B$19</f>
        <v>0.32586028848396031</v>
      </c>
      <c r="G13" s="17">
        <f>'Valori input_3_20'!F14*'Valori input_3_20'!$B$19</f>
        <v>4.999689331648783E-2</v>
      </c>
      <c r="H13" s="17">
        <f>'Valori input_3_20'!G14*'Valori input_3_20'!$B$19</f>
        <v>7.3380129589632997E-2</v>
      </c>
      <c r="I13" s="17">
        <f>'Valori input_3_20'!H14*'Valori input_3_20'!$B$19</f>
        <v>0.27516965858934794</v>
      </c>
      <c r="J13" s="17">
        <f>'Valori input_3_20'!I14*'Valori input_3_20'!$B$19</f>
        <v>0.11222289312516187</v>
      </c>
      <c r="K13" s="17">
        <f>'Valori input_3_20'!J14*'Valori input_3_20'!$B$19</f>
        <v>0.28068626910134081</v>
      </c>
      <c r="L13" s="17">
        <f>'Valori input_3_20'!K14*'Valori input_3_20'!$B$19</f>
        <v>0.10655490727805637</v>
      </c>
      <c r="M13" s="17">
        <f>'Valori input_3_20'!L14*'Valori input_3_20'!$B$19</f>
        <v>0.12821836629329461</v>
      </c>
      <c r="N13" s="1">
        <f>'Valori input_3_20'!M14*'Valori input_3_20'!$B$19</f>
        <v>4.058267314081257E-2</v>
      </c>
      <c r="O13" s="1">
        <f>'Valori input_3_20'!N14*'Valori input_3_20'!$B$19</f>
        <v>4.1499545430237011E-2</v>
      </c>
      <c r="P13" s="1">
        <f>'Valori input_3_20'!O14*'Valori input_3_20'!$B$19</f>
        <v>3.9662574946568323E-2</v>
      </c>
      <c r="Q13" s="1">
        <f>'Valori input_3_20'!P14*'Valori input_3_20'!$B$19</f>
        <v>0.14464562433732975</v>
      </c>
      <c r="R13" s="1">
        <f>'Valori input_3_20'!Q14*'Valori input_3_20'!$B$19</f>
        <v>4.4842625984178063E-2</v>
      </c>
      <c r="S13" s="1">
        <f>'Valori input_3_20'!R14*'Valori input_3_20'!$B$19</f>
        <v>0.16572991201712103</v>
      </c>
      <c r="T13" s="1">
        <f>'Valori input_3_20'!S14*'Valori input_3_20'!$B$19</f>
        <v>3.9477583506202063E-2</v>
      </c>
      <c r="U13" s="1">
        <f>'Valori input_3_20'!T14*'Valori input_3_20'!$B$19</f>
        <v>0.15781621520816844</v>
      </c>
      <c r="V13" s="1"/>
      <c r="W13" s="1"/>
      <c r="X13" s="1"/>
      <c r="Y13" s="1"/>
    </row>
    <row r="14" spans="2:25" x14ac:dyDescent="0.3">
      <c r="B14">
        <v>50</v>
      </c>
      <c r="C14" s="1">
        <f>'Valori input_3_20'!B15*'Valori input_3_20'!$B$19</f>
        <v>0.13152575561380803</v>
      </c>
      <c r="D14" s="1">
        <f>'Valori input_3_20'!C15*'Valori input_3_20'!$B$19</f>
        <v>0.12444532750513292</v>
      </c>
      <c r="E14" s="1">
        <f>'Valori input_3_20'!D15*'Valori input_3_20'!$B$19</f>
        <v>0.37614642395304942</v>
      </c>
      <c r="F14" s="1">
        <f>'Valori input_3_20'!E15*'Valori input_3_20'!$B$19</f>
        <v>0.3722142642992774</v>
      </c>
      <c r="G14" s="17">
        <f>'Valori input_3_20'!F15*'Valori input_3_20'!$B$19</f>
        <v>5.7908580659859522E-2</v>
      </c>
      <c r="H14" s="17">
        <f>'Valori input_3_20'!G15*'Valori input_3_20'!$B$19</f>
        <v>8.4521238300936191E-2</v>
      </c>
      <c r="I14" s="17">
        <f>'Valori input_3_20'!H15*'Valori input_3_20'!$B$19</f>
        <v>0.31644597965841509</v>
      </c>
      <c r="J14" s="17">
        <f>'Valori input_3_20'!I15*'Valori input_3_20'!$B$19</f>
        <v>0.13603036315017708</v>
      </c>
      <c r="K14" s="17">
        <f>'Valori input_3_20'!J15*'Valori input_3_20'!$B$19</f>
        <v>0.32029569150990272</v>
      </c>
      <c r="L14" s="17">
        <f>'Valori input_3_20'!K15*'Valori input_3_20'!$B$19</f>
        <v>0.13085161749801433</v>
      </c>
      <c r="M14" s="17">
        <f>'Valori input_3_20'!L15*'Valori input_3_20'!$B$19</f>
        <v>0.14640059260589422</v>
      </c>
      <c r="N14" s="1">
        <f>'Valori input_3_20'!M15*'Valori input_3_20'!$B$19</f>
        <v>4.6716074623051489E-2</v>
      </c>
      <c r="O14" s="1">
        <f>'Valori input_3_20'!N15*'Valori input_3_20'!$B$19</f>
        <v>4.7141558372105756E-2</v>
      </c>
      <c r="P14" s="1">
        <f>'Valori input_3_20'!O15*'Valori input_3_20'!$B$19</f>
        <v>4.5204365342058933E-2</v>
      </c>
      <c r="Q14" s="1">
        <f>'Valori input_3_20'!P15*'Valori input_3_20'!$B$19</f>
        <v>0.17347687790555416</v>
      </c>
      <c r="R14" s="1">
        <f>'Valori input_3_20'!Q15*'Valori input_3_20'!$B$19</f>
        <v>5.1243320808866975E-2</v>
      </c>
      <c r="S14" s="1">
        <f>'Valori input_3_20'!R15*'Valori input_3_20'!$B$19</f>
        <v>0.21843316976156021</v>
      </c>
      <c r="T14" s="1">
        <f>'Valori input_3_20'!S15*'Valori input_3_20'!$B$19</f>
        <v>4.5108166462046732E-2</v>
      </c>
      <c r="U14" s="1">
        <f>'Valori input_3_20'!T15*'Valori input_3_20'!$B$19</f>
        <v>0.20652477971000988</v>
      </c>
      <c r="V14" s="1"/>
      <c r="W14" s="1"/>
      <c r="X14" s="1"/>
      <c r="Y14" s="1"/>
    </row>
    <row r="15" spans="2:25" x14ac:dyDescent="0.3">
      <c r="C15" s="1"/>
      <c r="D15" s="1"/>
      <c r="E15" s="1"/>
      <c r="F15" s="1"/>
      <c r="G15" s="17"/>
      <c r="H15" s="17"/>
      <c r="I15" s="17"/>
      <c r="J15" s="17"/>
      <c r="K15" s="17"/>
      <c r="L15" s="17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7" spans="1:26" x14ac:dyDescent="0.3">
      <c r="A17" t="s">
        <v>18</v>
      </c>
      <c r="C17" s="8">
        <v>3.7040050813476381E-2</v>
      </c>
      <c r="D17" s="8">
        <v>2.685351060220734E-2</v>
      </c>
      <c r="E17" s="8">
        <v>9.0100512568784694E-2</v>
      </c>
      <c r="F17" s="8">
        <v>8.5758627299850537E-2</v>
      </c>
      <c r="G17" s="18">
        <v>1.1518426692007429E-2</v>
      </c>
      <c r="H17" s="18">
        <v>2.2817809577674864E-2</v>
      </c>
      <c r="I17" s="18">
        <v>6.8597681134452568E-2</v>
      </c>
      <c r="J17" s="18">
        <v>2.7471227022165104E-2</v>
      </c>
      <c r="K17" s="18">
        <v>7.2748580449574329E-2</v>
      </c>
      <c r="L17" s="18">
        <v>2.5192804472555615E-2</v>
      </c>
      <c r="M17" s="18">
        <v>3.6271925012197073E-2</v>
      </c>
      <c r="N17" s="8">
        <v>1.2582288091920666E-2</v>
      </c>
      <c r="O17" s="8">
        <v>1.4097916798552605E-2</v>
      </c>
      <c r="P17" s="8">
        <v>1.2141568494956683E-2</v>
      </c>
      <c r="Q17" s="8">
        <v>2.130079923641668E-2</v>
      </c>
      <c r="R17" s="8">
        <v>1.4056176420584373E-2</v>
      </c>
      <c r="S17" s="8">
        <v>1.4223680183543299E-2</v>
      </c>
      <c r="T17" s="8">
        <v>1.1816431727888412E-2</v>
      </c>
      <c r="U17" s="8">
        <v>2.3898569176097392E-2</v>
      </c>
      <c r="X17" t="s">
        <v>16</v>
      </c>
      <c r="Y17">
        <v>12.282</v>
      </c>
      <c r="Z17" t="s">
        <v>17</v>
      </c>
    </row>
    <row r="18" spans="1:26" x14ac:dyDescent="0.3">
      <c r="A18" t="s">
        <v>15</v>
      </c>
      <c r="C18" s="8">
        <v>3.5395886581684106E-3</v>
      </c>
      <c r="D18" s="8">
        <v>6.6011227021588121E-3</v>
      </c>
      <c r="E18" s="8">
        <v>1.5955039262640955E-2</v>
      </c>
      <c r="F18" s="8">
        <v>1.2376556638214666E-2</v>
      </c>
      <c r="G18" s="18">
        <v>9.0919815932066078E-4</v>
      </c>
      <c r="H18" s="18">
        <v>4.8499233680916179E-3</v>
      </c>
      <c r="I18" s="18">
        <v>1.0084723883516148E-2</v>
      </c>
      <c r="J18" s="18">
        <v>5.4996253706550511E-3</v>
      </c>
      <c r="K18" s="18">
        <v>1.1812912732434901E-2</v>
      </c>
      <c r="L18" s="18">
        <v>3.7714440251758398E-3</v>
      </c>
      <c r="M18" s="18">
        <v>2.5018557729531679E-3</v>
      </c>
      <c r="N18" s="8">
        <v>2.9222153103962666E-3</v>
      </c>
      <c r="O18" s="8">
        <v>4.3639917559852928E-3</v>
      </c>
      <c r="P18" s="8">
        <v>2.8638755281030926E-3</v>
      </c>
      <c r="Q18" s="8">
        <v>1.7552723510902662E-3</v>
      </c>
      <c r="R18" s="8">
        <v>2.6460509290028426E-3</v>
      </c>
      <c r="S18" s="8">
        <v>4.7442956695705005E-4</v>
      </c>
      <c r="T18" s="8">
        <v>3.0690569194246542E-3</v>
      </c>
      <c r="U18" s="8">
        <v>3.0733084444445006E-3</v>
      </c>
      <c r="X18" t="s">
        <v>19</v>
      </c>
      <c r="Y18" s="8">
        <v>42.47</v>
      </c>
      <c r="Z18" t="s">
        <v>17</v>
      </c>
    </row>
    <row r="19" spans="1:26" x14ac:dyDescent="0.3">
      <c r="A19" t="s">
        <v>44</v>
      </c>
      <c r="C19" s="8">
        <v>3.350046215530797E-2</v>
      </c>
      <c r="D19" s="8">
        <v>2.0252387900048529E-2</v>
      </c>
      <c r="E19" s="8">
        <v>7.4145473306143739E-2</v>
      </c>
      <c r="F19" s="8">
        <v>7.3382070661635879E-2</v>
      </c>
      <c r="G19" s="18">
        <v>1.0609228532686768E-2</v>
      </c>
      <c r="H19" s="18">
        <v>1.7967886209583245E-2</v>
      </c>
      <c r="I19" s="18">
        <v>5.8512957250936422E-2</v>
      </c>
      <c r="J19" s="18">
        <v>2.1971601651510055E-2</v>
      </c>
      <c r="K19" s="18">
        <v>6.093566771713943E-2</v>
      </c>
      <c r="L19" s="18">
        <v>2.1421360447379776E-2</v>
      </c>
      <c r="M19" s="18">
        <v>3.3770069239243902E-2</v>
      </c>
      <c r="N19" s="8">
        <v>9.6600727815243995E-3</v>
      </c>
      <c r="O19" s="8">
        <v>9.7339250425673117E-3</v>
      </c>
      <c r="P19" s="8">
        <v>9.2776929668535908E-3</v>
      </c>
      <c r="Q19" s="8">
        <v>1.9545526885326413E-2</v>
      </c>
      <c r="R19" s="8">
        <v>1.1410125491581531E-2</v>
      </c>
      <c r="S19" s="8">
        <v>1.3749250616586248E-2</v>
      </c>
      <c r="T19" s="8">
        <v>8.7473748084637565E-3</v>
      </c>
      <c r="U19" s="8">
        <v>2.0825260731652889E-2</v>
      </c>
    </row>
    <row r="20" spans="1:26" x14ac:dyDescent="0.3">
      <c r="A20" t="s">
        <v>21</v>
      </c>
      <c r="C20" s="1">
        <v>48.723062544005124</v>
      </c>
      <c r="D20" s="1">
        <v>48.773237231917321</v>
      </c>
      <c r="E20" s="1">
        <v>48.754015403782638</v>
      </c>
      <c r="F20" s="1">
        <v>48.730676874050843</v>
      </c>
      <c r="G20" s="17">
        <v>48.658846978654175</v>
      </c>
      <c r="H20" s="17">
        <v>48.78739727864339</v>
      </c>
      <c r="I20" s="17">
        <v>48.72509036062975</v>
      </c>
      <c r="J20" s="17">
        <v>48.747832969483753</v>
      </c>
      <c r="K20" s="17">
        <v>48.739463741844915</v>
      </c>
      <c r="L20" s="17">
        <v>48.717846314980605</v>
      </c>
      <c r="M20" s="17">
        <v>48.674395896538343</v>
      </c>
      <c r="N20" s="1">
        <v>48.793473555929147</v>
      </c>
      <c r="O20" s="1">
        <v>48.827342593801305</v>
      </c>
      <c r="P20" s="1">
        <v>48.793585664601359</v>
      </c>
      <c r="Q20" s="1">
        <v>48.617343805157873</v>
      </c>
      <c r="R20" s="1">
        <v>48.777952977770589</v>
      </c>
      <c r="S20" s="1">
        <v>48.502502965967494</v>
      </c>
      <c r="T20" s="1">
        <v>48.79595347329213</v>
      </c>
      <c r="U20" s="1">
        <v>48.656341130620909</v>
      </c>
    </row>
    <row r="21" spans="1:26" x14ac:dyDescent="0.3">
      <c r="A21" t="s">
        <v>22</v>
      </c>
      <c r="C21" s="1">
        <v>90.604780063621803</v>
      </c>
      <c r="D21" s="1">
        <v>54.830669972904737</v>
      </c>
      <c r="E21" s="1">
        <v>200.65998044343524</v>
      </c>
      <c r="F21" s="1">
        <v>198.49891611218118</v>
      </c>
      <c r="G21" s="17">
        <v>28.655721772610448</v>
      </c>
      <c r="H21" s="17">
        <v>48.659805870907341</v>
      </c>
      <c r="I21" s="17">
        <v>158.25973518287776</v>
      </c>
      <c r="J21" s="17">
        <v>59.454230773235942</v>
      </c>
      <c r="K21" s="17">
        <v>164.86104730972119</v>
      </c>
      <c r="L21" s="17">
        <v>57.929644525853568</v>
      </c>
      <c r="M21" s="17">
        <v>91.242726594752654</v>
      </c>
      <c r="N21" s="1">
        <v>26.16422458027542</v>
      </c>
      <c r="O21" s="1">
        <v>26.382553030020318</v>
      </c>
      <c r="P21" s="1">
        <v>25.128609855567039</v>
      </c>
      <c r="Q21" s="1">
        <v>52.747799080592323</v>
      </c>
      <c r="R21" s="1">
        <v>30.894397152307825</v>
      </c>
      <c r="S21" s="1">
        <v>37.01765577634221</v>
      </c>
      <c r="T21" s="1">
        <v>23.693394069788791</v>
      </c>
      <c r="U21" s="1">
        <v>56.24651625275753</v>
      </c>
    </row>
    <row r="22" spans="1:26" x14ac:dyDescent="0.3">
      <c r="A22" t="s">
        <v>23</v>
      </c>
      <c r="C22">
        <v>0.17241613263366273</v>
      </c>
      <c r="D22">
        <v>0.77706755818835671</v>
      </c>
      <c r="E22">
        <v>0.92314190248120109</v>
      </c>
      <c r="F22">
        <v>0.79361235985265899</v>
      </c>
      <c r="G22" s="16">
        <v>0.10097575281577134</v>
      </c>
      <c r="H22" s="16">
        <v>0.1936189209591529</v>
      </c>
      <c r="I22" s="16">
        <v>0.76698834992545661</v>
      </c>
      <c r="J22" s="16">
        <v>0.60257820152120878</v>
      </c>
      <c r="K22" s="16">
        <v>0.79573197411056795</v>
      </c>
      <c r="L22" s="16">
        <v>0.36761456030606543</v>
      </c>
      <c r="M22" s="16">
        <v>0.19680565144896195</v>
      </c>
      <c r="N22">
        <v>0.1253323060563955</v>
      </c>
      <c r="O22">
        <v>0.1841376046218266</v>
      </c>
      <c r="P22">
        <v>0.12826637296733234</v>
      </c>
      <c r="Q22">
        <v>0.68964754171696874</v>
      </c>
      <c r="R22">
        <v>0.10225147212750361</v>
      </c>
      <c r="S22">
        <v>1.0749109040259821</v>
      </c>
      <c r="T22">
        <v>0.18304261087099505</v>
      </c>
      <c r="U22">
        <v>2.208006090312665</v>
      </c>
    </row>
    <row r="23" spans="1:26" x14ac:dyDescent="0.3">
      <c r="A23" t="s">
        <v>24</v>
      </c>
      <c r="C23" s="1">
        <v>3542.7766457592429</v>
      </c>
      <c r="D23" s="1">
        <v>588.14750751003089</v>
      </c>
      <c r="E23" s="1">
        <v>1891.9608725289042</v>
      </c>
      <c r="F23" s="1">
        <v>2183.3095770209507</v>
      </c>
      <c r="G23" s="17">
        <v>2574.551380045827</v>
      </c>
      <c r="H23" s="17">
        <v>2035.9681222467862</v>
      </c>
      <c r="I23" s="17">
        <v>1903.9429983253933</v>
      </c>
      <c r="J23" s="17">
        <v>942.55852173362848</v>
      </c>
      <c r="K23" s="17">
        <v>1864.3857041404972</v>
      </c>
      <c r="L23" s="17">
        <v>1561.6331053220076</v>
      </c>
      <c r="M23" s="17">
        <v>3358.5221261095376</v>
      </c>
      <c r="N23" s="1">
        <v>1705.5892207949285</v>
      </c>
      <c r="O23" s="1">
        <v>1048.3549071000284</v>
      </c>
      <c r="P23" s="1">
        <v>1605.3885493183975</v>
      </c>
      <c r="Q23" s="1">
        <v>1185.8116390684593</v>
      </c>
      <c r="R23">
        <v>2394.9390720630954</v>
      </c>
      <c r="S23">
        <v>1039.7329358263835</v>
      </c>
      <c r="T23">
        <v>1042.782106851158</v>
      </c>
      <c r="U23">
        <v>421.96568480067225</v>
      </c>
    </row>
    <row r="24" spans="1:26" x14ac:dyDescent="0.3">
      <c r="A24" t="s">
        <v>25</v>
      </c>
      <c r="C24" s="1">
        <v>1.5575797826724826</v>
      </c>
      <c r="D24" s="1">
        <v>0.58564137559381579</v>
      </c>
      <c r="E24" s="1">
        <v>0.93457481789756192</v>
      </c>
      <c r="F24" s="1">
        <v>1.0517772922290132</v>
      </c>
      <c r="G24" s="17">
        <v>1.3015206671563035</v>
      </c>
      <c r="H24" s="17">
        <v>0.91539397021613755</v>
      </c>
      <c r="I24" s="17">
        <v>0.98222192673285647</v>
      </c>
      <c r="J24" s="17">
        <v>0.70453744470868429</v>
      </c>
      <c r="K24" s="17">
        <v>0.94981516476514571</v>
      </c>
      <c r="L24" s="17">
        <v>0.90002355224669983</v>
      </c>
      <c r="M24" s="17">
        <v>1.5933858924241802</v>
      </c>
      <c r="N24" s="1">
        <v>0.82626762564148726</v>
      </c>
      <c r="O24" s="1">
        <v>0.63169534428247509</v>
      </c>
      <c r="P24" s="1">
        <v>0.80307221155157205</v>
      </c>
      <c r="Q24" s="1">
        <v>0.90915669977779179</v>
      </c>
      <c r="R24">
        <v>1.0260638217899045</v>
      </c>
      <c r="S24">
        <v>0.97480021213703461</v>
      </c>
      <c r="T24">
        <v>0.67231390768454502</v>
      </c>
      <c r="U24">
        <v>0.62803305500343642</v>
      </c>
    </row>
    <row r="25" spans="1:26" x14ac:dyDescent="0.3">
      <c r="C25" s="1"/>
      <c r="D25" s="1"/>
      <c r="E25" s="1"/>
      <c r="F25" s="1"/>
      <c r="G25" s="17"/>
      <c r="H25" s="17"/>
      <c r="I25" s="17"/>
      <c r="J25" s="17"/>
      <c r="K25" s="17"/>
      <c r="L25" s="17"/>
      <c r="M25" s="17"/>
      <c r="N25" s="1"/>
      <c r="O25" s="1"/>
      <c r="P25" s="1"/>
      <c r="Q25" s="1"/>
    </row>
    <row r="26" spans="1:26" x14ac:dyDescent="0.3">
      <c r="C26" s="1"/>
      <c r="D26" s="1"/>
      <c r="E26" s="1"/>
      <c r="F26" s="1"/>
      <c r="G26" s="17"/>
      <c r="H26" s="17"/>
      <c r="I26" s="17"/>
      <c r="J26" s="17"/>
      <c r="K26" s="17"/>
      <c r="L26" s="17"/>
      <c r="M26" s="17"/>
      <c r="N26" s="1"/>
      <c r="O26" s="1"/>
      <c r="P26" s="1"/>
      <c r="Q26" s="1"/>
    </row>
    <row r="27" spans="1:26" x14ac:dyDescent="0.3">
      <c r="C27" s="1"/>
      <c r="D27" s="1"/>
      <c r="E27" s="1"/>
      <c r="F27" s="1"/>
      <c r="G27" s="17"/>
      <c r="H27" s="17"/>
      <c r="I27" s="17"/>
      <c r="J27" s="17"/>
      <c r="K27" s="17"/>
      <c r="L27" s="17"/>
      <c r="M27" s="17"/>
      <c r="N27" s="1"/>
      <c r="O27" s="1"/>
      <c r="P27" s="1"/>
      <c r="Q27" s="1"/>
    </row>
    <row r="29" spans="1:26" x14ac:dyDescent="0.3">
      <c r="C29" s="1"/>
      <c r="D29" s="1"/>
      <c r="E29" s="1"/>
      <c r="F29" s="1"/>
      <c r="G29" s="17"/>
      <c r="H29" s="17"/>
      <c r="I29" s="17"/>
      <c r="J29" s="17"/>
      <c r="K29" s="17"/>
      <c r="L29" s="17"/>
      <c r="M29" s="17"/>
      <c r="N29" s="1"/>
      <c r="O29" s="1"/>
      <c r="P29" s="1"/>
      <c r="Q29" s="1"/>
      <c r="R29" s="1"/>
    </row>
    <row r="30" spans="1:26" x14ac:dyDescent="0.3">
      <c r="C30" s="1"/>
      <c r="D30" s="1"/>
      <c r="E30" s="1"/>
      <c r="F30" s="1"/>
      <c r="G30" s="17"/>
      <c r="H30" s="17"/>
      <c r="I30" s="17"/>
      <c r="J30" s="17"/>
      <c r="K30" s="17"/>
      <c r="L30" s="17"/>
      <c r="M30" s="17"/>
      <c r="N30" s="1"/>
      <c r="O30" s="1"/>
      <c r="P30" s="1"/>
      <c r="Q30" s="1"/>
      <c r="R30" s="1"/>
    </row>
    <row r="31" spans="1:26" x14ac:dyDescent="0.3">
      <c r="C31" s="1"/>
      <c r="D31" s="1"/>
      <c r="E31" s="1"/>
      <c r="F31" s="1"/>
      <c r="G31" s="17"/>
      <c r="H31" s="17"/>
      <c r="I31" s="17"/>
      <c r="J31" s="17"/>
      <c r="K31" s="17"/>
      <c r="L31" s="17"/>
      <c r="M31" s="17"/>
      <c r="N31" s="1"/>
      <c r="O31" s="1"/>
      <c r="P31" s="1"/>
      <c r="Q31" s="1"/>
      <c r="R31" s="1"/>
    </row>
    <row r="32" spans="1:26" x14ac:dyDescent="0.3">
      <c r="C32" s="1"/>
      <c r="D32" s="1"/>
      <c r="E32" s="1"/>
      <c r="F32" s="1"/>
      <c r="G32" s="17"/>
      <c r="H32" s="17"/>
      <c r="I32" s="17"/>
      <c r="J32" s="17"/>
      <c r="K32" s="17"/>
      <c r="L32" s="17"/>
      <c r="M32" s="17"/>
      <c r="N32" s="1"/>
      <c r="O32" s="1"/>
      <c r="P32" s="1"/>
      <c r="Q32" s="1"/>
      <c r="R32" s="1"/>
    </row>
    <row r="33" spans="1:18" x14ac:dyDescent="0.3">
      <c r="C33" s="1"/>
      <c r="D33" s="1"/>
      <c r="E33" s="1"/>
      <c r="F33" s="1"/>
      <c r="G33" s="17"/>
      <c r="H33" s="17"/>
      <c r="I33" s="17"/>
      <c r="J33" s="17"/>
      <c r="K33" s="17"/>
      <c r="L33" s="17"/>
      <c r="M33" s="17"/>
      <c r="N33" s="1"/>
      <c r="O33" s="1"/>
      <c r="P33" s="1"/>
      <c r="Q33" s="1"/>
      <c r="R33" s="1"/>
    </row>
    <row r="37" spans="1:18" x14ac:dyDescent="0.3">
      <c r="A37" s="3"/>
      <c r="B37" s="1"/>
      <c r="C37" s="3"/>
      <c r="D37" s="3"/>
      <c r="E37" s="1"/>
      <c r="F37" s="3"/>
      <c r="G37" s="19"/>
      <c r="H37" s="17"/>
      <c r="I37" s="19"/>
      <c r="J37" s="19"/>
      <c r="K37" s="19"/>
    </row>
    <row r="38" spans="1:18" x14ac:dyDescent="0.3">
      <c r="A38" s="3"/>
      <c r="B38" s="1"/>
      <c r="D38" s="3"/>
      <c r="E38" s="1"/>
      <c r="G38" s="19"/>
      <c r="H38" s="17"/>
    </row>
    <row r="39" spans="1:18" x14ac:dyDescent="0.3">
      <c r="A39" s="3"/>
      <c r="B39" s="1"/>
      <c r="D39" s="3"/>
      <c r="E39" s="1"/>
      <c r="G39" s="19"/>
      <c r="H39" s="17"/>
    </row>
    <row r="40" spans="1:18" x14ac:dyDescent="0.3">
      <c r="A40" s="3"/>
      <c r="B40" s="1"/>
      <c r="D40" s="3"/>
      <c r="E40" s="1"/>
      <c r="G40" s="19"/>
      <c r="H40" s="17"/>
    </row>
    <row r="41" spans="1:18" x14ac:dyDescent="0.3">
      <c r="A41" s="3"/>
      <c r="B41" s="1"/>
      <c r="D41" s="3"/>
      <c r="E41" s="1"/>
      <c r="G41" s="19"/>
      <c r="H41" s="17"/>
    </row>
    <row r="42" spans="1:18" x14ac:dyDescent="0.3">
      <c r="A42" s="3"/>
      <c r="B42" s="1"/>
      <c r="D42" s="3"/>
      <c r="E42" s="1"/>
      <c r="G42" s="19"/>
      <c r="H42" s="17"/>
    </row>
    <row r="43" spans="1:18" x14ac:dyDescent="0.3">
      <c r="A43" s="3"/>
      <c r="B43" s="1"/>
      <c r="D43" s="3"/>
      <c r="E43" s="1"/>
      <c r="G43" s="19"/>
      <c r="H43" s="17"/>
    </row>
    <row r="44" spans="1:18" x14ac:dyDescent="0.3">
      <c r="A44" s="3"/>
      <c r="B44" s="1"/>
      <c r="D44" s="3"/>
      <c r="E44" s="1"/>
      <c r="G44" s="19"/>
      <c r="H44" s="17"/>
    </row>
    <row r="45" spans="1:18" x14ac:dyDescent="0.3">
      <c r="A45" s="3"/>
      <c r="B45" s="1"/>
      <c r="D45" s="3"/>
      <c r="E45" s="1"/>
      <c r="G45" s="19"/>
      <c r="H45" s="17"/>
    </row>
    <row r="46" spans="1:18" x14ac:dyDescent="0.3">
      <c r="A46" s="3"/>
      <c r="B46" s="1"/>
      <c r="D46" s="3"/>
      <c r="E46" s="1"/>
      <c r="G46" s="19"/>
      <c r="H46" s="17"/>
    </row>
    <row r="47" spans="1:18" x14ac:dyDescent="0.3">
      <c r="A47" s="3"/>
      <c r="B47" s="1"/>
      <c r="D47" s="3"/>
      <c r="E47" s="1"/>
      <c r="G47" s="19"/>
      <c r="H47" s="17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40F8-55D4-4993-9A98-1C0C0852843D}">
  <dimension ref="A1:AC47"/>
  <sheetViews>
    <sheetView topLeftCell="C1" zoomScale="90" zoomScaleNormal="90" workbookViewId="0">
      <selection activeCell="E4" sqref="E4:E14"/>
    </sheetView>
  </sheetViews>
  <sheetFormatPr defaultRowHeight="14.4" x14ac:dyDescent="0.3"/>
  <cols>
    <col min="3" max="3" width="11.5546875" customWidth="1"/>
    <col min="4" max="6" width="12.5546875" customWidth="1"/>
    <col min="7" max="9" width="11.5546875" customWidth="1"/>
    <col min="10" max="10" width="12.5546875" customWidth="1"/>
    <col min="11" max="11" width="11.5546875" customWidth="1"/>
    <col min="12" max="12" width="9.5546875" customWidth="1"/>
    <col min="13" max="21" width="12.5546875" customWidth="1"/>
    <col min="22" max="23" width="13.5546875" customWidth="1"/>
    <col min="24" max="24" width="12.5546875" customWidth="1"/>
    <col min="25" max="25" width="13.5546875" customWidth="1"/>
  </cols>
  <sheetData>
    <row r="1" spans="2:25" x14ac:dyDescent="0.3">
      <c r="B1" t="s">
        <v>0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49</v>
      </c>
      <c r="X1" t="s">
        <v>55</v>
      </c>
      <c r="Y1" t="s">
        <v>13</v>
      </c>
    </row>
    <row r="2" spans="2:25" x14ac:dyDescent="0.3">
      <c r="C2" t="str">
        <f>'Valori input_4_20'!B$1</f>
        <v>S01</v>
      </c>
      <c r="D2" t="str">
        <f>'Valori input_4_20'!C$1</f>
        <v>S02</v>
      </c>
      <c r="E2" t="str">
        <f>'Valori input_4_20'!D$1</f>
        <v>S03</v>
      </c>
      <c r="F2" t="str">
        <f>'Valori input_4_20'!E$1</f>
        <v>S04</v>
      </c>
      <c r="G2" t="str">
        <f>'Valori input_4_20'!F$1</f>
        <v>S05</v>
      </c>
      <c r="H2" t="str">
        <f>'Valori input_4_20'!G$1</f>
        <v>S06</v>
      </c>
      <c r="I2" t="str">
        <f>'Valori input_4_20'!H$1</f>
        <v>S07</v>
      </c>
      <c r="J2" t="str">
        <f>'Valori input_4_20'!I$1</f>
        <v>S08</v>
      </c>
      <c r="K2" t="str">
        <f>'Valori input_4_20'!J$1</f>
        <v>S09</v>
      </c>
      <c r="L2" t="str">
        <f>'Valori input_4_20'!K$1</f>
        <v>S10</v>
      </c>
      <c r="M2" t="str">
        <f>'Valori input_4_20'!L$1</f>
        <v>S11</v>
      </c>
      <c r="N2" t="str">
        <f>'Valori input_4_20'!M$1</f>
        <v>S12</v>
      </c>
      <c r="O2" t="str">
        <f>'Valori input_4_20'!N$1</f>
        <v>S13</v>
      </c>
      <c r="P2" t="str">
        <f>'Valori input_4_20'!O$1</f>
        <v>S14</v>
      </c>
      <c r="Q2" t="str">
        <f>'Valori input_4_20'!P$1</f>
        <v>S15</v>
      </c>
      <c r="R2" t="str">
        <f>'Valori input_4_20'!Q$1</f>
        <v>S16</v>
      </c>
      <c r="S2" t="str">
        <f>'Valori input_4_20'!R$1</f>
        <v>S17</v>
      </c>
      <c r="T2" t="str">
        <f>'Valori input_4_20'!S$1</f>
        <v>S18</v>
      </c>
      <c r="U2" t="str">
        <f>'Valori input_4_20'!T$1</f>
        <v>S19</v>
      </c>
      <c r="V2" t="str">
        <f>'Valori input_4_20'!U$1</f>
        <v>S20</v>
      </c>
      <c r="W2" t="str">
        <f>'Valori input_4_20'!V$1</f>
        <v>S21</v>
      </c>
      <c r="X2" t="str">
        <f>'Valori input_4_20'!W$1</f>
        <v>S22</v>
      </c>
      <c r="Y2" t="str">
        <f>'Valori input_4_20'!X$1</f>
        <v>S23</v>
      </c>
    </row>
    <row r="3" spans="2:25" x14ac:dyDescent="0.3">
      <c r="B3" t="s">
        <v>0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</row>
    <row r="4" spans="2:25" x14ac:dyDescent="0.3">
      <c r="B4">
        <v>0</v>
      </c>
      <c r="C4" s="1">
        <f>'Valori input_4_20'!B5*'Valori input_4_20'!$B$19</f>
        <v>0</v>
      </c>
      <c r="D4" s="1">
        <f>'Valori input_4_20'!C5*'Valori input_4_20'!$B$19</f>
        <v>0</v>
      </c>
      <c r="E4" s="1">
        <f>'Valori input_4_20'!D5*'Valori input_4_20'!$B$19</f>
        <v>0</v>
      </c>
      <c r="F4" s="1">
        <f>'Valori input_4_20'!E5*'Valori input_4_20'!$B$19</f>
        <v>0</v>
      </c>
      <c r="G4" s="1">
        <f>'Valori input_4_20'!F5*'Valori input_4_20'!$B$19</f>
        <v>0</v>
      </c>
      <c r="H4" s="1">
        <f>'Valori input_4_20'!G5*'Valori input_4_20'!$B$19</f>
        <v>0</v>
      </c>
      <c r="I4" s="1">
        <f>'Valori input_4_20'!H5*'Valori input_4_20'!$B$19</f>
        <v>0</v>
      </c>
      <c r="J4" s="1">
        <f>'Valori input_4_20'!I5*'Valori input_4_20'!$B$19</f>
        <v>0</v>
      </c>
      <c r="K4" s="1">
        <f>'Valori input_4_20'!J5*'Valori input_4_20'!$B$19</f>
        <v>0</v>
      </c>
      <c r="L4" s="1">
        <f>'Valori input_4_20'!K5*'Valori input_4_20'!$B$19</f>
        <v>0</v>
      </c>
      <c r="M4" s="1">
        <f>'Valori input_4_20'!L5*'Valori input_4_20'!$B$19</f>
        <v>0</v>
      </c>
      <c r="N4" s="1">
        <f>'Valori input_4_20'!M5*'Valori input_4_20'!$B$19</f>
        <v>0</v>
      </c>
      <c r="O4" s="1">
        <f>'Valori input_4_20'!N5*'Valori input_4_20'!$B$19</f>
        <v>0</v>
      </c>
      <c r="P4" s="1">
        <f>'Valori input_4_20'!O5*'Valori input_4_20'!$B$19</f>
        <v>0</v>
      </c>
      <c r="Q4" s="1">
        <f>'Valori input_4_20'!P5*'Valori input_4_20'!$B$19</f>
        <v>0</v>
      </c>
      <c r="R4" s="1">
        <f>'Valori input_4_20'!Q5*'Valori input_4_20'!$B$19</f>
        <v>0</v>
      </c>
      <c r="S4" s="1">
        <f>'Valori input_4_20'!R5*'Valori input_4_20'!$B$19</f>
        <v>0</v>
      </c>
      <c r="T4" s="1">
        <f>'Valori input_4_20'!S5*'Valori input_4_20'!$B$19</f>
        <v>0</v>
      </c>
      <c r="U4" s="1">
        <f>'Valori input_4_20'!T5*'Valori input_4_20'!$B$19</f>
        <v>0</v>
      </c>
      <c r="V4" s="1">
        <f>'Valori input_4_20'!U5*'Valori input_4_20'!$B$19</f>
        <v>0</v>
      </c>
      <c r="W4" s="1">
        <f>'Valori input_4_20'!V5*'Valori input_4_20'!$B$19</f>
        <v>0</v>
      </c>
      <c r="X4" s="1">
        <f>'Valori input_4_20'!W5*'Valori input_4_20'!$B$19</f>
        <v>0</v>
      </c>
      <c r="Y4" s="1">
        <f>'Valori input_4_20'!X5*'Valori input_4_20'!$B$19</f>
        <v>0</v>
      </c>
    </row>
    <row r="5" spans="2:25" x14ac:dyDescent="0.3">
      <c r="B5">
        <v>5</v>
      </c>
      <c r="C5" s="1">
        <f>'Valori input_4_20'!B6*'Valori input_4_20'!$B$19</f>
        <v>1.7200679009071476E-2</v>
      </c>
      <c r="D5" s="1">
        <f>'Valori input_4_20'!C6*'Valori input_4_20'!$B$19</f>
        <v>1.7521902377972458E-2</v>
      </c>
      <c r="E5" s="1">
        <f>'Valori input_4_20'!D6*'Valori input_4_20'!$B$19</f>
        <v>8.9237537874073906E-3</v>
      </c>
      <c r="F5" s="1">
        <f>'Valori input_4_20'!E6*'Valori input_4_20'!$B$19</f>
        <v>7.1172129162676949E-3</v>
      </c>
      <c r="G5" s="1">
        <f>'Valori input_4_20'!F6*'Valori input_4_20'!$B$19</f>
        <v>1.232128173161102E-2</v>
      </c>
      <c r="H5" s="1">
        <f>'Valori input_4_20'!G6*'Valori input_4_20'!$B$19</f>
        <v>8.339004163735288E-3</v>
      </c>
      <c r="I5" s="1">
        <f>'Valori input_4_20'!H6*'Valori input_4_20'!$B$19</f>
        <v>7.7161352549481492E-3</v>
      </c>
      <c r="J5" s="1">
        <f>'Valori input_4_20'!I6*'Valori input_4_20'!$B$19</f>
        <v>1.1952092237352441E-2</v>
      </c>
      <c r="K5" s="1">
        <f>'Valori input_4_20'!J6*'Valori input_4_20'!$B$19</f>
        <v>2.3410979749502899E-2</v>
      </c>
      <c r="L5" s="1">
        <f>'Valori input_4_20'!K6*'Valori input_4_20'!$B$19</f>
        <v>1.442702736868736E-2</v>
      </c>
      <c r="M5" s="1">
        <f>'Valori input_4_20'!L6*'Valori input_4_20'!$B$19</f>
        <v>5.1608067003995365E-3</v>
      </c>
      <c r="N5" s="1">
        <f>'Valori input_4_20'!M6*'Valori input_4_20'!$B$19</f>
        <v>6.2072671348367067E-3</v>
      </c>
      <c r="O5" s="1">
        <f>'Valori input_4_20'!N6*'Valori input_4_20'!$B$19</f>
        <v>1.4915076053747091E-2</v>
      </c>
      <c r="P5" s="1">
        <f>'Valori input_4_20'!O6*'Valori input_4_20'!$B$19</f>
        <v>4.4117981488640276E-3</v>
      </c>
      <c r="Q5" s="1">
        <f>'Valori input_4_20'!P6*'Valori input_4_20'!$B$19</f>
        <v>9.0105067163189709E-3</v>
      </c>
      <c r="R5" s="1">
        <f>'Valori input_4_20'!Q6*'Valori input_4_20'!$B$19</f>
        <v>1.0764732409119808E-3</v>
      </c>
      <c r="S5" s="1">
        <f>'Valori input_4_20'!R6*'Valori input_4_20'!$B$19</f>
        <v>4.79953282114025E-3</v>
      </c>
      <c r="T5" s="1">
        <f>'Valori input_4_20'!S6*'Valori input_4_20'!$B$19</f>
        <v>1.3319925968026659E-2</v>
      </c>
      <c r="U5" s="1">
        <f>'Valori input_4_20'!T6*'Valori input_4_20'!$B$19</f>
        <v>1.1373807833575644E-2</v>
      </c>
      <c r="V5" s="1">
        <f>'Valori input_4_20'!U6*'Valori input_4_20'!$B$19</f>
        <v>9.9466198070378379E-4</v>
      </c>
      <c r="W5" s="1">
        <f>'Valori input_4_20'!V6*'Valori input_4_20'!$B$19</f>
        <v>4.0103391556358938E-3</v>
      </c>
      <c r="X5" s="7">
        <f>'Valori input_4_20'!W6*'Valori input_4_20'!$B$19</f>
        <v>4.5177799347042667E-3</v>
      </c>
      <c r="Y5" s="1">
        <f>'Valori input_4_20'!X6*'Valori input_4_20'!$B$19</f>
        <v>0</v>
      </c>
    </row>
    <row r="6" spans="2:25" x14ac:dyDescent="0.3">
      <c r="B6">
        <v>10</v>
      </c>
      <c r="C6" s="1">
        <f>'Valori input_4_20'!B7*'Valori input_4_20'!$B$19</f>
        <v>2.4746697787916019E-2</v>
      </c>
      <c r="D6" s="1">
        <f>'Valori input_4_20'!C7*'Valori input_4_20'!$B$19</f>
        <v>4.0498384174247989E-2</v>
      </c>
      <c r="E6" s="1">
        <f>'Valori input_4_20'!D7*'Valori input_4_20'!$B$19</f>
        <v>2.6563732204374857E-2</v>
      </c>
      <c r="F6" s="1">
        <f>'Valori input_4_20'!E7*'Valori input_4_20'!$B$19</f>
        <v>1.6476979606447943E-2</v>
      </c>
      <c r="G6" s="1">
        <f>'Valori input_4_20'!F7*'Valori input_4_20'!$B$19</f>
        <v>2.0279052494761238E-2</v>
      </c>
      <c r="H6" s="1">
        <f>'Valori input_4_20'!G7*'Valori input_4_20'!$B$19</f>
        <v>1.76814569612809E-2</v>
      </c>
      <c r="I6" s="1">
        <f>'Valori input_4_20'!H7*'Valori input_4_20'!$B$19</f>
        <v>1.9995177415465609E-2</v>
      </c>
      <c r="J6" s="1">
        <f>'Valori input_4_20'!I7*'Valori input_4_20'!$B$19</f>
        <v>2.6612662757181289E-2</v>
      </c>
      <c r="K6" s="1">
        <f>'Valori input_4_20'!J7*'Valori input_4_20'!$B$19</f>
        <v>5.6019130114881029E-2</v>
      </c>
      <c r="L6" s="1">
        <f>'Valori input_4_20'!K7*'Valori input_4_20'!$B$19</f>
        <v>3.0592250805891105E-2</v>
      </c>
      <c r="M6" s="1">
        <f>'Valori input_4_20'!L7*'Valori input_4_20'!$B$19</f>
        <v>1.2556040882815304E-2</v>
      </c>
      <c r="N6" s="1">
        <f>'Valori input_4_20'!M7*'Valori input_4_20'!$B$19</f>
        <v>1.1488076488354508E-2</v>
      </c>
      <c r="O6" s="1">
        <f>'Valori input_4_20'!N7*'Valori input_4_20'!$B$19</f>
        <v>2.3867406945037761E-2</v>
      </c>
      <c r="P6" s="1">
        <f>'Valori input_4_20'!O7*'Valori input_4_20'!$B$19</f>
        <v>1.0423062636921101E-2</v>
      </c>
      <c r="Q6" s="1">
        <f>'Valori input_4_20'!P7*'Valori input_4_20'!$B$19</f>
        <v>1.5427583455246852E-2</v>
      </c>
      <c r="R6" s="1">
        <f>'Valori input_4_20'!Q7*'Valori input_4_20'!$B$19</f>
        <v>3.6221869863113472E-3</v>
      </c>
      <c r="S6" s="1">
        <f>'Valori input_4_20'!R7*'Valori input_4_20'!$B$19</f>
        <v>1.06210193988725E-2</v>
      </c>
      <c r="T6" s="1">
        <f>'Valori input_4_20'!S7*'Valori input_4_20'!$B$19</f>
        <v>2.0329646307874143E-2</v>
      </c>
      <c r="U6" s="1">
        <f>'Valori input_4_20'!T7*'Valori input_4_20'!$B$19</f>
        <v>2.0293836229513574E-2</v>
      </c>
      <c r="V6" s="1">
        <f>'Valori input_4_20'!U7*'Valori input_4_20'!$B$19</f>
        <v>3.3818507343920351E-3</v>
      </c>
      <c r="W6" s="1">
        <f>'Valori input_4_20'!V7*'Valori input_4_20'!$B$19</f>
        <v>9.4618939453279191E-3</v>
      </c>
      <c r="X6" s="1">
        <f>'Valori input_4_20'!W7*'Valori input_4_20'!$B$19</f>
        <v>2.0841789464396118E-2</v>
      </c>
      <c r="Y6" s="1">
        <f>'Valori input_4_20'!X7*'Valori input_4_20'!$B$19</f>
        <v>0</v>
      </c>
    </row>
    <row r="7" spans="2:25" x14ac:dyDescent="0.3">
      <c r="B7">
        <v>15</v>
      </c>
      <c r="C7" s="1">
        <f>'Valori input_4_20'!B8*'Valori input_4_20'!$B$19</f>
        <v>3.2173359503474906E-2</v>
      </c>
      <c r="D7" s="1">
        <f>'Valori input_4_20'!C8*'Valori input_4_20'!$B$19</f>
        <v>7.5280667999178194E-2</v>
      </c>
      <c r="E7" s="1">
        <f>'Valori input_4_20'!D8*'Valori input_4_20'!$B$19</f>
        <v>7.4025650603910004E-2</v>
      </c>
      <c r="F7" s="1">
        <f>'Valori input_4_20'!E8*'Valori input_4_20'!$B$19</f>
        <v>3.0174455943820552E-2</v>
      </c>
      <c r="G7" s="1">
        <f>'Valori input_4_20'!F8*'Valori input_4_20'!$B$19</f>
        <v>3.4019470012467447E-2</v>
      </c>
      <c r="H7" s="1">
        <f>'Valori input_4_20'!G8*'Valori input_4_20'!$B$19</f>
        <v>3.2398703590500719E-2</v>
      </c>
      <c r="I7" s="1">
        <f>'Valori input_4_20'!H8*'Valori input_4_20'!$B$19</f>
        <v>3.6540352048671093E-2</v>
      </c>
      <c r="J7" s="1">
        <f>'Valori input_4_20'!I8*'Valori input_4_20'!$B$19</f>
        <v>6.0108339131299211E-2</v>
      </c>
      <c r="K7" s="1">
        <f>'Valori input_4_20'!J8*'Valori input_4_20'!$B$19</f>
        <v>0.13753950602832749</v>
      </c>
      <c r="L7" s="1">
        <f>'Valori input_4_20'!K8*'Valori input_4_20'!$B$19</f>
        <v>5.8640414638771628E-2</v>
      </c>
      <c r="M7" s="1">
        <f>'Valori input_4_20'!L8*'Valori input_4_20'!$B$19</f>
        <v>2.0787383413340358E-2</v>
      </c>
      <c r="N7" s="1">
        <f>'Valori input_4_20'!M8*'Valori input_4_20'!$B$19</f>
        <v>1.7343289666290142E-2</v>
      </c>
      <c r="O7" s="1">
        <f>'Valori input_4_20'!N8*'Valori input_4_20'!$B$19</f>
        <v>3.4051709977332117E-2</v>
      </c>
      <c r="P7" s="1">
        <f>'Valori input_4_20'!O8*'Valori input_4_20'!$B$19</f>
        <v>2.4780357643705647E-2</v>
      </c>
      <c r="Q7" s="1">
        <f>'Valori input_4_20'!P8*'Valori input_4_20'!$B$19</f>
        <v>2.2243649421465804E-2</v>
      </c>
      <c r="R7" s="1">
        <f>'Valori input_4_20'!Q8*'Valori input_4_20'!$B$19</f>
        <v>6.6043088023510638E-3</v>
      </c>
      <c r="S7" s="1">
        <f>'Valori input_4_20'!R8*'Valori input_4_20'!$B$19</f>
        <v>1.6752741938427608E-2</v>
      </c>
      <c r="T7" s="1">
        <f>'Valori input_4_20'!S8*'Valori input_4_20'!$B$19</f>
        <v>2.8155467144668458E-2</v>
      </c>
      <c r="U7" s="1">
        <f>'Valori input_4_20'!T8*'Valori input_4_20'!$B$19</f>
        <v>3.0803419858637843E-2</v>
      </c>
      <c r="V7" s="1">
        <f>'Valori input_4_20'!U8*'Valori input_4_20'!$B$19</f>
        <v>6.2332150790756127E-3</v>
      </c>
      <c r="W7" s="1">
        <f>'Valori input_4_20'!V8*'Valori input_4_20'!$B$19</f>
        <v>1.7654891517193089E-2</v>
      </c>
      <c r="X7" s="1">
        <f>'Valori input_4_20'!W8*'Valori input_4_20'!$B$19</f>
        <v>4.9766169593223816E-2</v>
      </c>
      <c r="Y7" s="1">
        <f>'Valori input_4_20'!X8*'Valori input_4_20'!$B$19</f>
        <v>0</v>
      </c>
    </row>
    <row r="8" spans="2:25" x14ac:dyDescent="0.3">
      <c r="B8">
        <v>20</v>
      </c>
      <c r="C8" s="1">
        <f>'Valori input_4_20'!B9*'Valori input_4_20'!$B$19</f>
        <v>3.8432974378017258E-2</v>
      </c>
      <c r="D8" s="1">
        <f>'Valori input_4_20'!C9*'Valori input_4_20'!$B$19</f>
        <v>0.10466441260530904</v>
      </c>
      <c r="E8" s="1">
        <f>'Valori input_4_20'!D9*'Valori input_4_20'!$B$19</f>
        <v>9.8078279998339749E-2</v>
      </c>
      <c r="F8" s="1">
        <f>'Valori input_4_20'!E9*'Valori input_4_20'!$B$19</f>
        <v>4.1239826912751291E-2</v>
      </c>
      <c r="G8" s="1">
        <f>'Valori input_4_20'!F9*'Valori input_4_20'!$B$19</f>
        <v>4.8409772142497448E-2</v>
      </c>
      <c r="H8" s="1">
        <f>'Valori input_4_20'!G9*'Valori input_4_20'!$B$19</f>
        <v>4.6942941834580969E-2</v>
      </c>
      <c r="I8" s="1">
        <f>'Valori input_4_20'!H9*'Valori input_4_20'!$B$19</f>
        <v>4.6686327972845484E-2</v>
      </c>
      <c r="J8" s="1">
        <f>'Valori input_4_20'!I9*'Valori input_4_20'!$B$19</f>
        <v>7.8185568034986816E-2</v>
      </c>
      <c r="K8" s="1">
        <f>'Valori input_4_20'!J9*'Valori input_4_20'!$B$19</f>
        <v>0.180548820253842</v>
      </c>
      <c r="L8" s="1">
        <f>'Valori input_4_20'!K9*'Valori input_4_20'!$B$19</f>
        <v>8.4650148536755204E-2</v>
      </c>
      <c r="M8" s="1">
        <f>'Valori input_4_20'!L9*'Valori input_4_20'!$B$19</f>
        <v>2.6841961106546158E-2</v>
      </c>
      <c r="N8" s="1">
        <f>'Valori input_4_20'!M9*'Valori input_4_20'!$B$19</f>
        <v>2.162352461598338E-2</v>
      </c>
      <c r="O8" s="1">
        <f>'Valori input_4_20'!N9*'Valori input_4_20'!$B$19</f>
        <v>4.098360655737731E-2</v>
      </c>
      <c r="P8" s="1">
        <f>'Valori input_4_20'!O9*'Valori input_4_20'!$B$19</f>
        <v>4.2389648193209527E-2</v>
      </c>
      <c r="Q8" s="1">
        <f>'Valori input_4_20'!P9*'Valori input_4_20'!$B$19</f>
        <v>2.7364011171698614E-2</v>
      </c>
      <c r="R8" s="1">
        <f>'Valori input_4_20'!Q9*'Valori input_4_20'!$B$19</f>
        <v>8.8154430269264655E-3</v>
      </c>
      <c r="S8" s="1">
        <f>'Valori input_4_20'!R9*'Valori input_4_20'!$B$19</f>
        <v>2.1333284668869249E-2</v>
      </c>
      <c r="T8" s="1">
        <f>'Valori input_4_20'!S9*'Valori input_4_20'!$B$19</f>
        <v>3.3824450953817344E-2</v>
      </c>
      <c r="U8" s="1">
        <f>'Valori input_4_20'!T9*'Valori input_4_20'!$B$19</f>
        <v>3.8704898299330465E-2</v>
      </c>
      <c r="V8" s="1">
        <f>'Valori input_4_20'!U9*'Valori input_4_20'!$B$19</f>
        <v>8.255694439839369E-3</v>
      </c>
      <c r="W8" s="1">
        <f>'Valori input_4_20'!V9*'Valori input_4_20'!$B$19</f>
        <v>2.2855800109657941E-2</v>
      </c>
      <c r="X8" s="1">
        <f>'Valori input_4_20'!W9*'Valori input_4_20'!$B$19</f>
        <v>6.2595958704668039E-2</v>
      </c>
      <c r="Y8" s="1">
        <f>'Valori input_4_20'!X9*'Valori input_4_20'!$B$19</f>
        <v>0</v>
      </c>
    </row>
    <row r="9" spans="2:25" x14ac:dyDescent="0.3">
      <c r="B9">
        <v>25</v>
      </c>
      <c r="C9" s="1">
        <f>'Valori input_4_20'!B10*'Valori input_4_20'!$B$19</f>
        <v>4.8909872155323476E-2</v>
      </c>
      <c r="D9" s="1">
        <f>'Valori input_4_20'!C10*'Valori input_4_20'!$B$19</f>
        <v>0.14275306820092312</v>
      </c>
      <c r="E9" s="1">
        <f>'Valori input_4_20'!D10*'Valori input_4_20'!$B$19</f>
        <v>0.12003486489851831</v>
      </c>
      <c r="F9" s="1">
        <f>'Valori input_4_20'!E10*'Valori input_4_20'!$B$19</f>
        <v>5.7843147576884101E-2</v>
      </c>
      <c r="G9" s="1">
        <f>'Valori input_4_20'!F10*'Valori input_4_20'!$B$19</f>
        <v>7.0426271253879749E-2</v>
      </c>
      <c r="H9" s="1">
        <f>'Valori input_4_20'!G10*'Valori input_4_20'!$B$19</f>
        <v>6.7427134635125369E-2</v>
      </c>
      <c r="I9" s="1">
        <f>'Valori input_4_20'!H10*'Valori input_4_20'!$B$19</f>
        <v>5.7592788381281082E-2</v>
      </c>
      <c r="J9" s="1">
        <f>'Valori input_4_20'!I10*'Valori input_4_20'!$B$19</f>
        <v>9.2560381671802014E-2</v>
      </c>
      <c r="K9" s="1">
        <f>'Valori input_4_20'!J10*'Valori input_4_20'!$B$19</f>
        <v>0.23158475610775761</v>
      </c>
      <c r="L9" s="1">
        <f>'Valori input_4_20'!K10*'Valori input_4_20'!$B$19</f>
        <v>0.11372542822830438</v>
      </c>
      <c r="M9" s="1">
        <f>'Valori input_4_20'!L10*'Valori input_4_20'!$B$19</f>
        <v>3.3747062809035853E-2</v>
      </c>
      <c r="N9" s="1">
        <f>'Valori input_4_20'!M10*'Valori input_4_20'!$B$19</f>
        <v>2.6478163390094664E-2</v>
      </c>
      <c r="O9" s="1">
        <f>'Valori input_4_20'!N10*'Valori input_4_20'!$B$19</f>
        <v>4.9114622687999286E-2</v>
      </c>
      <c r="P9" s="1">
        <f>'Valori input_4_20'!O10*'Valori input_4_20'!$B$19</f>
        <v>7.5917798042738585E-2</v>
      </c>
      <c r="Q9" s="1">
        <f>'Valori input_4_20'!P10*'Valori input_4_20'!$B$19</f>
        <v>3.3215853171964391E-2</v>
      </c>
      <c r="R9" s="1">
        <f>'Valori input_4_20'!Q10*'Valori input_4_20'!$B$19</f>
        <v>1.1390250643702129E-2</v>
      </c>
      <c r="S9" s="1">
        <f>'Valori input_4_20'!R10*'Valori input_4_20'!$B$19</f>
        <v>2.6844535284778429E-2</v>
      </c>
      <c r="T9" s="1">
        <f>'Valori input_4_20'!S10*'Valori input_4_20'!$B$19</f>
        <v>4.2408079394919973E-2</v>
      </c>
      <c r="U9" s="1">
        <f>'Valori input_4_20'!T10*'Valori input_4_20'!$B$19</f>
        <v>4.9662026605759885E-2</v>
      </c>
      <c r="V9" s="1">
        <f>'Valori input_4_20'!U10*'Valori input_4_20'!$B$19</f>
        <v>1.0825237889990527E-2</v>
      </c>
      <c r="W9" s="1">
        <f>'Valori input_4_20'!V10*'Valori input_4_20'!$B$19</f>
        <v>2.8025377927469591E-2</v>
      </c>
      <c r="X9" s="1">
        <f>'Valori input_4_20'!W10*'Valori input_4_20'!$B$19</f>
        <v>7.4684549545575157E-2</v>
      </c>
      <c r="Y9" s="1">
        <f>'Valori input_4_20'!X10*'Valori input_4_20'!$B$19</f>
        <v>0</v>
      </c>
    </row>
    <row r="10" spans="2:25" x14ac:dyDescent="0.3">
      <c r="B10">
        <v>30</v>
      </c>
      <c r="C10" s="1">
        <f>'Valori input_4_20'!B11*'Valori input_4_20'!$B$19</f>
        <v>6.0925149859424127E-2</v>
      </c>
      <c r="D10" s="1">
        <f>'Valori input_4_20'!C11*'Valori input_4_20'!$B$19</f>
        <v>0.17815179422038743</v>
      </c>
      <c r="E10" s="1">
        <f>'Valori input_4_20'!D11*'Valori input_4_20'!$B$19</f>
        <v>0.140746274851617</v>
      </c>
      <c r="F10" s="1">
        <f>'Valori input_4_20'!E11*'Valori input_4_20'!$B$19</f>
        <v>7.2983017656162982E-2</v>
      </c>
      <c r="G10" s="1">
        <f>'Valori input_4_20'!F11*'Valori input_4_20'!$B$19</f>
        <v>9.2575399877981093E-2</v>
      </c>
      <c r="H10" s="1">
        <f>'Valori input_4_20'!G11*'Valori input_4_20'!$B$19</f>
        <v>8.5385405012629714E-2</v>
      </c>
      <c r="I10" s="1">
        <f>'Valori input_4_20'!H11*'Valori input_4_20'!$B$19</f>
        <v>6.7683119099289826E-2</v>
      </c>
      <c r="J10" s="1">
        <f>'Valori input_4_20'!I11*'Valori input_4_20'!$B$19</f>
        <v>0.10170460192823791</v>
      </c>
      <c r="K10" s="1">
        <f>'Valori input_4_20'!J11*'Valori input_4_20'!$B$19</f>
        <v>0.27986154077691033</v>
      </c>
      <c r="L10" s="1">
        <f>'Valori input_4_20'!K11*'Valori input_4_20'!$B$19</f>
        <v>0.14190000632071326</v>
      </c>
      <c r="M10" s="1">
        <f>'Valori input_4_20'!L11*'Valori input_4_20'!$B$19</f>
        <v>4.0882815090314301E-2</v>
      </c>
      <c r="N10" s="1">
        <f>'Valori input_4_20'!M11*'Valori input_4_20'!$B$19</f>
        <v>3.0962219051677876E-2</v>
      </c>
      <c r="O10" s="1">
        <f>'Valori input_4_20'!N11*'Valori input_4_20'!$B$19</f>
        <v>5.6309339991458651E-2</v>
      </c>
      <c r="P10" s="1">
        <f>'Valori input_4_20'!O11*'Valori input_4_20'!$B$19</f>
        <v>0.10956723443931518</v>
      </c>
      <c r="Q10" s="1">
        <f>'Valori input_4_20'!P11*'Valori input_4_20'!$B$19</f>
        <v>3.8652081393802752E-2</v>
      </c>
      <c r="R10" s="1">
        <f>'Valori input_4_20'!Q11*'Valori input_4_20'!$B$19</f>
        <v>1.3790495032221656E-2</v>
      </c>
      <c r="S10" s="1">
        <f>'Valori input_4_20'!R11*'Valori input_4_20'!$B$19</f>
        <v>3.1917805719291217E-2</v>
      </c>
      <c r="T10" s="1">
        <f>'Valori input_4_20'!S11*'Valori input_4_20'!$B$19</f>
        <v>5.1414331307655277E-2</v>
      </c>
      <c r="U10" s="1">
        <f>'Valori input_4_20'!T11*'Valori input_4_20'!$B$19</f>
        <v>5.980122843297668E-2</v>
      </c>
      <c r="V10" s="1">
        <f>'Valori input_4_20'!U11*'Valori input_4_20'!$B$19</f>
        <v>1.3229004343357345E-2</v>
      </c>
      <c r="W10" s="1">
        <f>'Valori input_4_20'!V11*'Valori input_4_20'!$B$19</f>
        <v>3.288164799874696E-2</v>
      </c>
      <c r="X10" s="1">
        <f>'Valori input_4_20'!W11*'Valori input_4_20'!$B$19</f>
        <v>8.631430336186395E-2</v>
      </c>
      <c r="Y10" s="1">
        <f>'Valori input_4_20'!X11*'Valori input_4_20'!$B$19</f>
        <v>0</v>
      </c>
    </row>
    <row r="11" spans="2:25" x14ac:dyDescent="0.3">
      <c r="B11">
        <v>35</v>
      </c>
      <c r="C11" s="1">
        <f>'Valori input_4_20'!B12*'Valori input_4_20'!$B$19</f>
        <v>7.6587448941701011E-2</v>
      </c>
      <c r="D11" s="1">
        <f>'Valori input_4_20'!C12*'Valori input_4_20'!$B$19</f>
        <v>0.22544972260101254</v>
      </c>
      <c r="E11" s="1">
        <f>'Valori input_4_20'!D12*'Valori input_4_20'!$B$19</f>
        <v>0.1618934960361933</v>
      </c>
      <c r="F11" s="1">
        <f>'Valori input_4_20'!E12*'Valori input_4_20'!$B$19</f>
        <v>8.8986218296291067E-2</v>
      </c>
      <c r="G11" s="1">
        <f>'Valori input_4_20'!F12*'Valori input_4_20'!$B$19</f>
        <v>0.12070611952571701</v>
      </c>
      <c r="H11" s="1">
        <f>'Valori input_4_20'!G12*'Valori input_4_20'!$B$19</f>
        <v>0.10408184450006358</v>
      </c>
      <c r="I11" s="1">
        <f>'Valori input_4_20'!H12*'Valori input_4_20'!$B$19</f>
        <v>7.7996030641960534E-2</v>
      </c>
      <c r="J11" s="1">
        <f>'Valori input_4_20'!I12*'Valori input_4_20'!$B$19</f>
        <v>0.10956912831726476</v>
      </c>
      <c r="K11" s="1">
        <f>'Valori input_4_20'!J12*'Valori input_4_20'!$B$19</f>
        <v>0.3414658617748868</v>
      </c>
      <c r="L11" s="1">
        <f>'Valori input_4_20'!K12*'Valori input_4_20'!$B$19</f>
        <v>0.18633461854497199</v>
      </c>
      <c r="M11" s="1">
        <f>'Valori input_4_20'!L12*'Valori input_4_20'!$B$19</f>
        <v>4.761492885871222E-2</v>
      </c>
      <c r="N11" s="1">
        <f>'Valori input_4_20'!M12*'Valori input_4_20'!$B$19</f>
        <v>3.5705682892030993E-2</v>
      </c>
      <c r="O11" s="1">
        <f>'Valori input_4_20'!N12*'Valori input_4_20'!$B$19</f>
        <v>6.3832583199185652E-2</v>
      </c>
      <c r="P11" s="1">
        <f>'Valori input_4_20'!O12*'Valori input_4_20'!$B$19</f>
        <v>0.15338199956033621</v>
      </c>
      <c r="Q11" s="1">
        <f>'Valori input_4_20'!P12*'Valori input_4_20'!$B$19</f>
        <v>4.4603670700891149E-2</v>
      </c>
      <c r="R11" s="1">
        <f>'Valori input_4_20'!Q12*'Valori input_4_20'!$B$19</f>
        <v>1.6365302648997156E-2</v>
      </c>
      <c r="S11" s="1">
        <f>'Valori input_4_20'!R12*'Valori input_4_20'!$B$19</f>
        <v>3.7319561289851921E-2</v>
      </c>
      <c r="T11" s="1">
        <f>'Valori input_4_20'!S12*'Valori input_4_20'!$B$19</f>
        <v>6.2140223553243237E-2</v>
      </c>
      <c r="U11" s="1">
        <f>'Valori input_4_20'!T12*'Valori input_4_20'!$B$19</f>
        <v>7.0742924164326454E-2</v>
      </c>
      <c r="V11" s="1">
        <f>'Valori input_4_20'!U12*'Valori input_4_20'!$B$19</f>
        <v>1.583170319286507E-2</v>
      </c>
      <c r="W11" s="1">
        <f>'Valori input_4_20'!V12*'Valori input_4_20'!$B$19</f>
        <v>3.7972898879924999E-2</v>
      </c>
      <c r="X11" s="1">
        <f>'Valori input_4_20'!W12*'Valori input_4_20'!$B$19</f>
        <v>9.8155828112591978E-2</v>
      </c>
      <c r="Y11" s="1">
        <f>'Valori input_4_20'!X12*'Valori input_4_20'!$B$19</f>
        <v>0</v>
      </c>
    </row>
    <row r="12" spans="2:25" x14ac:dyDescent="0.3">
      <c r="B12">
        <v>40</v>
      </c>
      <c r="C12" s="1">
        <f>'Valori input_4_20'!B13*'Valori input_4_20'!$B$19</f>
        <v>9.2766961964882863E-2</v>
      </c>
      <c r="D12" s="1">
        <f>'Valori input_4_20'!C13*'Valori input_4_20'!$B$19</f>
        <v>0.26846991575290036</v>
      </c>
      <c r="E12" s="1">
        <f>'Valori input_4_20'!D13*'Valori input_4_20'!$B$19</f>
        <v>0.18299921138920033</v>
      </c>
      <c r="F12" s="1">
        <f>'Valori input_4_20'!E13*'Valori input_4_20'!$B$19</f>
        <v>0.10255735357597845</v>
      </c>
      <c r="G12" s="1">
        <f>'Valori input_4_20'!F13*'Valori input_4_20'!$B$19</f>
        <v>0.15349213506989592</v>
      </c>
      <c r="H12" s="1">
        <f>'Valori input_4_20'!G13*'Valori input_4_20'!$B$19</f>
        <v>0.12034463270319852</v>
      </c>
      <c r="I12" s="1">
        <f>'Valori input_4_20'!H13*'Valori input_4_20'!$B$19</f>
        <v>8.8067812957914132E-2</v>
      </c>
      <c r="J12" s="1">
        <f>'Valori input_4_20'!I13*'Valori input_4_20'!$B$19</f>
        <v>0.11706092833714374</v>
      </c>
      <c r="K12" s="1">
        <f>'Valori input_4_20'!J13*'Valori input_4_20'!$B$19</f>
        <v>0.40693299443153153</v>
      </c>
      <c r="L12" s="1">
        <f>'Valori input_4_20'!K13*'Valori input_4_20'!$B$19</f>
        <v>0.23038998799064561</v>
      </c>
      <c r="M12" s="1">
        <f>'Valori input_4_20'!L13*'Valori input_4_20'!$B$19</f>
        <v>5.418847035419317E-2</v>
      </c>
      <c r="N12" s="1">
        <f>'Valori input_4_20'!M13*'Valori input_4_20'!$B$19</f>
        <v>4.004150530860353E-2</v>
      </c>
      <c r="O12" s="1">
        <f>'Valori input_4_20'!N13*'Valori input_4_20'!$B$19</f>
        <v>7.0468806465389944E-2</v>
      </c>
      <c r="P12" s="1">
        <f>'Valori input_4_20'!O13*'Valori input_4_20'!$B$19</f>
        <v>0.1926030367119218</v>
      </c>
      <c r="Q12" s="1">
        <f>'Valori input_4_20'!P13*'Valori input_4_20'!$B$19</f>
        <v>5.0206144434100548E-2</v>
      </c>
      <c r="R12" s="1">
        <f>'Valori input_4_20'!Q13*'Valori input_4_20'!$B$19</f>
        <v>1.8780093973204667E-2</v>
      </c>
      <c r="S12" s="1">
        <f>'Valori input_4_20'!R13*'Valori input_4_20'!$B$19</f>
        <v>4.2173841633666519E-2</v>
      </c>
      <c r="T12" s="1">
        <f>'Valori input_4_20'!S13*'Valori input_4_20'!$B$19</f>
        <v>7.2443492327198211E-2</v>
      </c>
      <c r="U12" s="1">
        <f>'Valori input_4_20'!T13*'Valori input_4_20'!$B$19</f>
        <v>8.1051884317417708E-2</v>
      </c>
      <c r="V12" s="1">
        <f>'Valori input_4_20'!U13*'Valori input_4_20'!$B$19</f>
        <v>1.8235469646232075E-2</v>
      </c>
      <c r="W12" s="1">
        <f>'Valori input_4_20'!V13*'Valori input_4_20'!$B$19</f>
        <v>4.309548053575659E-2</v>
      </c>
      <c r="X12" s="1">
        <f>'Valori input_4_20'!W13*'Valori input_4_20'!$B$19</f>
        <v>0.11010323833053953</v>
      </c>
      <c r="Y12" s="1">
        <f>'Valori input_4_20'!X13*'Valori input_4_20'!$B$19</f>
        <v>0</v>
      </c>
    </row>
    <row r="13" spans="2:25" x14ac:dyDescent="0.3">
      <c r="B13">
        <v>45</v>
      </c>
      <c r="C13" s="1">
        <f>'Valori input_4_20'!B14*'Valori input_4_20'!$B$19</f>
        <v>0.11301787703570122</v>
      </c>
      <c r="D13" s="1">
        <f>'Valori input_4_20'!C14*'Valori input_4_20'!$B$19</f>
        <v>0.3100704238507091</v>
      </c>
      <c r="E13" s="1">
        <f>'Valori input_4_20'!D14*'Valori input_4_20'!$B$19</f>
        <v>0.20690657037313748</v>
      </c>
      <c r="F13" s="1">
        <f>'Valori input_4_20'!E14*'Valori input_4_20'!$B$19</f>
        <v>0.11639169939251005</v>
      </c>
      <c r="G13" s="1">
        <f>'Valori input_4_20'!F14*'Valori input_4_20'!$B$19</f>
        <v>0.19564179421204819</v>
      </c>
      <c r="H13" s="1">
        <f>'Valori input_4_20'!G14*'Valori input_4_20'!$B$19</f>
        <v>0.13735712390860574</v>
      </c>
      <c r="I13" s="1">
        <f>'Valori input_4_20'!H14*'Valori input_4_20'!$B$19</f>
        <v>9.934524140745285E-2</v>
      </c>
      <c r="J13" s="1">
        <f>'Valori input_4_20'!I14*'Valori input_4_20'!$B$19</f>
        <v>0.12714938872875478</v>
      </c>
      <c r="K13" s="1">
        <f>'Valori input_4_20'!J14*'Valori input_4_20'!$B$19</f>
        <v>0.46484172505476501</v>
      </c>
      <c r="L13" s="1">
        <f>'Valori input_4_20'!K14*'Valori input_4_20'!$B$19</f>
        <v>0.28459010176347915</v>
      </c>
      <c r="M13" s="1">
        <f>'Valori input_4_20'!L14*'Valori input_4_20'!$B$19</f>
        <v>6.1929680404791812E-2</v>
      </c>
      <c r="N13" s="1">
        <f>'Valori input_4_20'!M14*'Valori input_4_20'!$B$19</f>
        <v>4.4822027460208948E-2</v>
      </c>
      <c r="O13" s="1">
        <f>'Valori input_4_20'!N14*'Valori input_4_20'!$B$19</f>
        <v>7.823844410131775E-2</v>
      </c>
      <c r="P13" s="1">
        <f>'Valori input_4_20'!O14*'Valori input_4_20'!$B$19</f>
        <v>0.23587201237122785</v>
      </c>
      <c r="Q13" s="1">
        <f>'Valori input_4_20'!P14*'Valori input_4_20'!$B$19</f>
        <v>5.7138582258279412E-2</v>
      </c>
      <c r="R13" s="1">
        <f>'Valori input_4_20'!Q14*'Valori input_4_20'!$B$19</f>
        <v>2.2911423708595953E-2</v>
      </c>
      <c r="S13" s="1">
        <f>'Valori input_4_20'!R14*'Valori input_4_20'!$B$19</f>
        <v>4.7356607113528404E-2</v>
      </c>
      <c r="T13" s="1">
        <f>'Valori input_4_20'!S14*'Valori input_4_20'!$B$19</f>
        <v>8.4218656640289227E-2</v>
      </c>
      <c r="U13" s="1">
        <f>'Valori input_4_20'!T14*'Valori input_4_20'!$B$19</f>
        <v>9.420043828513254E-2</v>
      </c>
      <c r="V13" s="1">
        <f>'Valori input_4_20'!U14*'Valori input_4_20'!$B$19</f>
        <v>2.2147806770332571E-2</v>
      </c>
      <c r="W13" s="1">
        <f>'Valori input_4_20'!V14*'Valori input_4_20'!$B$19</f>
        <v>4.9142320043863451E-2</v>
      </c>
      <c r="X13" s="1">
        <f>'Valori input_4_20'!W14*'Valori input_4_20'!$B$19</f>
        <v>0.12409776758139975</v>
      </c>
      <c r="Y13" s="1">
        <f>'Valori input_4_20'!X14*'Valori input_4_20'!$B$19</f>
        <v>0</v>
      </c>
    </row>
    <row r="14" spans="2:25" x14ac:dyDescent="0.3">
      <c r="B14">
        <v>50</v>
      </c>
      <c r="C14" s="1">
        <f>'Valori input_4_20'!B15*'Valori input_4_20'!$B$19</f>
        <v>0.14233992891623823</v>
      </c>
      <c r="D14" s="1">
        <f>'Valori input_4_20'!C15*'Valori input_4_20'!$B$19</f>
        <v>0.35394990006164451</v>
      </c>
      <c r="E14" s="1">
        <f>'Valori input_4_20'!D15*'Valori input_4_20'!$B$19</f>
        <v>0.23344954966172771</v>
      </c>
      <c r="F14" s="1">
        <f>'Valori input_4_20'!E15*'Valori input_4_20'!$B$19</f>
        <v>0.13105779050546978</v>
      </c>
      <c r="G14" s="1">
        <f>'Valori input_4_20'!F15*'Valori input_4_20'!$B$19</f>
        <v>0.24978116130401357</v>
      </c>
      <c r="H14" s="1">
        <f>'Valori input_4_20'!G15*'Valori input_4_20'!$B$19</f>
        <v>0.15543073320953635</v>
      </c>
      <c r="I14" s="1">
        <f>'Valori input_4_20'!H15*'Valori input_4_20'!$B$19</f>
        <v>0.1116428319700261</v>
      </c>
      <c r="J14" s="1">
        <f>'Valori input_4_20'!I15*'Valori input_4_20'!$B$19</f>
        <v>0.14444389225723103</v>
      </c>
      <c r="K14" s="1">
        <f>'Valori input_4_20'!J15*'Valori input_4_20'!$B$19</f>
        <v>0.52425544723332407</v>
      </c>
      <c r="L14" s="1">
        <f>'Valori input_4_20'!K15*'Valori input_4_20'!$B$19</f>
        <v>0.35179508248530444</v>
      </c>
      <c r="M14" s="1">
        <f>'Valori input_4_20'!L15*'Valori input_4_20'!$B$19</f>
        <v>6.988712537300526E-2</v>
      </c>
      <c r="N14" s="1">
        <f>'Valori input_4_20'!M15*'Valori input_4_20'!$B$19</f>
        <v>5.0362244992495801E-2</v>
      </c>
      <c r="O14" s="1">
        <f>'Valori input_4_20'!N15*'Valori input_4_20'!$B$19</f>
        <v>8.7585006077729496E-2</v>
      </c>
      <c r="P14" s="1">
        <f>'Valori input_4_20'!O15*'Valori input_4_20'!$B$19</f>
        <v>0.2908982026849809</v>
      </c>
      <c r="Q14" s="1">
        <f>'Valori input_4_20'!P15*'Valori input_4_20'!$B$19</f>
        <v>6.5484106929113273E-2</v>
      </c>
      <c r="R14" s="1">
        <f>'Valori input_4_20'!Q15*'Valori input_4_20'!$B$19</f>
        <v>3.0141250745530496E-2</v>
      </c>
      <c r="S14" s="1">
        <f>'Valori input_4_20'!R15*'Valori input_4_20'!$B$19</f>
        <v>5.3579575524207758E-2</v>
      </c>
      <c r="T14" s="1">
        <f>'Valori input_4_20'!S15*'Valori input_4_20'!$B$19</f>
        <v>0.10113816872877802</v>
      </c>
      <c r="U14" s="1">
        <f>'Valori input_4_20'!T15*'Valori input_4_20'!$B$19</f>
        <v>0.11086761937096881</v>
      </c>
      <c r="V14" s="1">
        <f>'Valori input_4_20'!U15*'Valori input_4_20'!$B$19</f>
        <v>2.9508305427538798E-2</v>
      </c>
      <c r="W14" s="1">
        <f>'Valori input_4_20'!V15*'Valori input_4_20'!$B$19</f>
        <v>5.5815775045038159E-2</v>
      </c>
      <c r="X14" s="8">
        <f>'Valori input_4_20'!W15*'Valori input_4_20'!$B$19</f>
        <v>0.13987470219712364</v>
      </c>
      <c r="Y14" s="1">
        <f>'Valori input_4_20'!X15*'Valori input_4_20'!$B$19</f>
        <v>0</v>
      </c>
    </row>
    <row r="15" spans="2:25" x14ac:dyDescent="0.3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7" spans="1:29" x14ac:dyDescent="0.3">
      <c r="A17" t="s">
        <v>18</v>
      </c>
      <c r="C17" s="8">
        <v>2.9003520657625365E-2</v>
      </c>
      <c r="D17" s="8">
        <v>7.0412694469534701E-2</v>
      </c>
      <c r="E17" s="8">
        <v>6.2646932548773487E-2</v>
      </c>
      <c r="F17" s="8">
        <v>2.8659164680186384E-2</v>
      </c>
      <c r="G17" s="8">
        <v>3.2009859297406372E-2</v>
      </c>
      <c r="H17" s="8">
        <v>3.1850374972889901E-2</v>
      </c>
      <c r="I17" s="8">
        <v>3.2879973768426642E-2</v>
      </c>
      <c r="J17" s="8">
        <v>5.4062513402279209E-2</v>
      </c>
      <c r="K17" s="8">
        <v>0.11780599293518065</v>
      </c>
      <c r="L17" s="8">
        <v>5.4290749134022147E-2</v>
      </c>
      <c r="M17" s="8">
        <v>1.9292164000123724E-2</v>
      </c>
      <c r="N17" s="8">
        <v>1.6438451919861204E-2</v>
      </c>
      <c r="O17" s="8">
        <v>3.2544080429937408E-2</v>
      </c>
      <c r="P17" s="8">
        <v>2.3120903911733298E-2</v>
      </c>
      <c r="Q17" s="8">
        <v>2.1023247240515051E-2</v>
      </c>
      <c r="R17" s="8">
        <v>5.7104010740079529E-3</v>
      </c>
      <c r="S17" s="8">
        <v>1.5755900739888921E-2</v>
      </c>
      <c r="T17" s="8">
        <v>2.6219001759403081E-2</v>
      </c>
      <c r="U17" s="8">
        <v>2.9066549289340028E-2</v>
      </c>
      <c r="V17" s="8">
        <v>5.0738390595537293E-3</v>
      </c>
      <c r="W17" s="8">
        <v>1.5907371806190809E-2</v>
      </c>
      <c r="X17" s="8">
        <v>4.1319573293612639E-2</v>
      </c>
      <c r="Y17" s="8"/>
      <c r="AA17" t="s">
        <v>16</v>
      </c>
      <c r="AB17">
        <v>12.282</v>
      </c>
      <c r="AC17" t="s">
        <v>17</v>
      </c>
    </row>
    <row r="18" spans="1:29" x14ac:dyDescent="0.3">
      <c r="A18" t="s">
        <v>15</v>
      </c>
      <c r="C18" s="8">
        <v>8.3504529391858519E-3</v>
      </c>
      <c r="D18" s="8">
        <v>8.3980825151492404E-3</v>
      </c>
      <c r="E18" s="8">
        <v>5.78905347230225E-3</v>
      </c>
      <c r="F18" s="8">
        <v>2.7802687235471959E-3</v>
      </c>
      <c r="G18" s="8">
        <v>5.3501513278707783E-3</v>
      </c>
      <c r="H18" s="8">
        <v>2.6040055897895119E-3</v>
      </c>
      <c r="I18" s="8">
        <v>5.5373885524064885E-3</v>
      </c>
      <c r="J18" s="8">
        <v>4.6969780387632947E-3</v>
      </c>
      <c r="K18" s="8">
        <v>1.4178726732198619E-2</v>
      </c>
      <c r="L18" s="8">
        <v>9.6423482298906935E-3</v>
      </c>
      <c r="M18" s="8">
        <v>3.6797724806593097E-3</v>
      </c>
      <c r="N18" s="8">
        <v>4.3829959214318516E-3</v>
      </c>
      <c r="O18" s="8">
        <v>1.1028216358097229E-2</v>
      </c>
      <c r="P18" s="8">
        <v>4.3024559336134877E-4</v>
      </c>
      <c r="Q18" s="8">
        <v>6.3289381544504239E-3</v>
      </c>
      <c r="R18" s="8">
        <v>1.151190567178917E-3</v>
      </c>
      <c r="S18" s="8">
        <v>3.3198638696758194E-3</v>
      </c>
      <c r="T18" s="8">
        <v>8.2006587635757456E-3</v>
      </c>
      <c r="U18" s="8">
        <v>7.6769667736492422E-3</v>
      </c>
      <c r="V18" s="8">
        <v>6.2267167707430069E-4</v>
      </c>
      <c r="W18" s="8">
        <v>2.940261938757815E-3</v>
      </c>
      <c r="X18" s="8">
        <v>4.5963484845456632E-3</v>
      </c>
      <c r="Y18" s="8"/>
      <c r="AA18" t="s">
        <v>19</v>
      </c>
      <c r="AB18" s="8">
        <v>42.47</v>
      </c>
      <c r="AC18" t="s">
        <v>17</v>
      </c>
    </row>
    <row r="19" spans="1:29" x14ac:dyDescent="0.3">
      <c r="A19" t="s">
        <v>44</v>
      </c>
      <c r="C19" s="8">
        <v>2.0653067718439513E-2</v>
      </c>
      <c r="D19" s="8">
        <v>6.2014611954385457E-2</v>
      </c>
      <c r="E19" s="8">
        <v>5.6857879076471239E-2</v>
      </c>
      <c r="F19" s="8">
        <v>2.5878895956639187E-2</v>
      </c>
      <c r="G19" s="8">
        <v>2.6659707969535595E-2</v>
      </c>
      <c r="H19" s="8">
        <v>2.9246369383100389E-2</v>
      </c>
      <c r="I19" s="8">
        <v>2.7342585216020152E-2</v>
      </c>
      <c r="J19" s="8">
        <v>4.9365535363515914E-2</v>
      </c>
      <c r="K19" s="8">
        <v>0.10362726620298203</v>
      </c>
      <c r="L19" s="8">
        <v>4.4648400904131455E-2</v>
      </c>
      <c r="M19" s="8">
        <v>1.5612391519464416E-2</v>
      </c>
      <c r="N19" s="8">
        <v>1.2055455998429353E-2</v>
      </c>
      <c r="O19" s="8">
        <v>2.1515864071840179E-2</v>
      </c>
      <c r="P19" s="8">
        <v>2.2690658318371949E-2</v>
      </c>
      <c r="Q19" s="8">
        <v>1.4694309086064627E-2</v>
      </c>
      <c r="R19" s="8">
        <v>4.5592105068290364E-3</v>
      </c>
      <c r="S19" s="8">
        <v>1.2436036870213101E-2</v>
      </c>
      <c r="T19" s="8">
        <v>1.8018342995827337E-2</v>
      </c>
      <c r="U19" s="8">
        <v>2.1389582515690786E-2</v>
      </c>
      <c r="V19" s="8">
        <v>4.451167382479429E-3</v>
      </c>
      <c r="W19" s="8">
        <v>1.2967109867432994E-2</v>
      </c>
      <c r="X19" s="8">
        <v>3.6723224809066979E-2</v>
      </c>
      <c r="Y19" s="8"/>
    </row>
    <row r="20" spans="1:29" x14ac:dyDescent="0.3">
      <c r="A20" t="s">
        <v>21</v>
      </c>
      <c r="C20" s="8">
        <v>48.780630184403101</v>
      </c>
      <c r="D20" s="8">
        <v>48.694958363942</v>
      </c>
      <c r="E20" s="8">
        <v>48.710722820639589</v>
      </c>
      <c r="F20" s="8">
        <v>48.68596376862363</v>
      </c>
      <c r="G20" s="8">
        <v>48.688557663283532</v>
      </c>
      <c r="H20" s="8">
        <v>48.662997339818013</v>
      </c>
      <c r="I20" s="8">
        <v>48.779201460053869</v>
      </c>
      <c r="J20" s="8">
        <v>48.765760582382448</v>
      </c>
      <c r="K20" s="8">
        <v>48.710034987415952</v>
      </c>
      <c r="L20" s="8">
        <v>48.709452675456745</v>
      </c>
      <c r="M20" s="8">
        <v>48.780313541734813</v>
      </c>
      <c r="N20" s="8">
        <v>48.833579579805267</v>
      </c>
      <c r="O20" s="8">
        <v>48.871163968694077</v>
      </c>
      <c r="P20" s="8">
        <v>48.473567361273282</v>
      </c>
      <c r="Q20" s="8">
        <v>48.841346716539853</v>
      </c>
      <c r="R20" s="8">
        <v>48.746096814177427</v>
      </c>
      <c r="S20" s="8">
        <v>48.79810196080301</v>
      </c>
      <c r="T20" s="8">
        <v>48.813573753608061</v>
      </c>
      <c r="U20" s="8">
        <v>48.802194110740089</v>
      </c>
      <c r="V20" s="8">
        <v>48.691740445520075</v>
      </c>
      <c r="W20" s="8">
        <v>48.783500418763239</v>
      </c>
      <c r="X20" s="8">
        <v>48.743174294241683</v>
      </c>
      <c r="Y20" s="8"/>
    </row>
    <row r="21" spans="1:29" x14ac:dyDescent="0.3">
      <c r="A21" t="s">
        <v>22</v>
      </c>
      <c r="C21" s="8">
        <v>55.923933308167179</v>
      </c>
      <c r="D21" s="8">
        <v>167.626919071597</v>
      </c>
      <c r="E21" s="8">
        <v>153.7379066257804</v>
      </c>
      <c r="F21" s="8">
        <v>69.938328665940375</v>
      </c>
      <c r="G21" s="8">
        <v>72.052330211547783</v>
      </c>
      <c r="H21" s="8">
        <v>79.001720537837869</v>
      </c>
      <c r="I21" s="8">
        <v>74.03549668004095</v>
      </c>
      <c r="J21" s="8">
        <v>133.63019031686653</v>
      </c>
      <c r="K21" s="8">
        <v>280.19360324160539</v>
      </c>
      <c r="L21" s="8">
        <v>120.72157484732783</v>
      </c>
      <c r="M21" s="8">
        <v>42.274624116336156</v>
      </c>
      <c r="N21" s="8">
        <v>32.678938099924537</v>
      </c>
      <c r="O21" s="8">
        <v>58.368322008494872</v>
      </c>
      <c r="P21" s="8">
        <v>61.054518704814797</v>
      </c>
      <c r="Q21" s="8">
        <v>39.83845933014068</v>
      </c>
      <c r="R21" s="8">
        <v>12.336592659567202</v>
      </c>
      <c r="S21" s="8">
        <v>33.686094653397966</v>
      </c>
      <c r="T21" s="8">
        <v>48.822631959179844</v>
      </c>
      <c r="U21" s="8">
        <v>57.94385555805907</v>
      </c>
      <c r="V21" s="8">
        <v>12.030812482223332</v>
      </c>
      <c r="W21" s="8">
        <v>35.114127651849365</v>
      </c>
      <c r="X21" s="8">
        <v>99.362006523173577</v>
      </c>
      <c r="Y21" s="8"/>
    </row>
    <row r="22" spans="1:29" x14ac:dyDescent="0.3">
      <c r="A22" t="s">
        <v>23</v>
      </c>
      <c r="C22" s="8">
        <v>3.191319716206507</v>
      </c>
      <c r="D22" s="8">
        <v>0.83950290115672743</v>
      </c>
      <c r="E22" s="8">
        <v>0.32345214065626671</v>
      </c>
      <c r="F22" s="8">
        <v>0.23754416068634493</v>
      </c>
      <c r="G22" s="8">
        <v>4.9982545805871528</v>
      </c>
      <c r="H22" s="8">
        <v>0.27858662403961448</v>
      </c>
      <c r="I22" s="8">
        <v>0.18183467303938108</v>
      </c>
      <c r="J22" s="8">
        <v>0.1563915181424872</v>
      </c>
      <c r="K22" s="8">
        <v>1.0261661835595366</v>
      </c>
      <c r="L22" s="8">
        <v>3.4411832995628258</v>
      </c>
      <c r="M22" s="8">
        <v>0.13876977737385673</v>
      </c>
      <c r="N22" s="8">
        <v>0.10268612930657932</v>
      </c>
      <c r="O22" s="8">
        <v>0.18583537286467039</v>
      </c>
      <c r="P22" s="8">
        <v>0.73580810368660521</v>
      </c>
      <c r="Q22" s="8">
        <v>0.16045270965878894</v>
      </c>
      <c r="R22" s="8">
        <v>0.1410132007160968</v>
      </c>
      <c r="S22" s="8">
        <v>0.10451138676750019</v>
      </c>
      <c r="T22" s="8">
        <v>0.68297275154671944</v>
      </c>
      <c r="U22" s="8">
        <v>0.39421852850589995</v>
      </c>
      <c r="V22" s="8">
        <v>7.2779253863294036E-2</v>
      </c>
      <c r="W22" s="8">
        <v>9.9919017405966426E-2</v>
      </c>
      <c r="X22" s="8">
        <v>0.18693808661956951</v>
      </c>
    </row>
    <row r="23" spans="1:29" x14ac:dyDescent="0.3">
      <c r="A23" t="s">
        <v>24</v>
      </c>
      <c r="C23" s="8">
        <v>92.674091437502852</v>
      </c>
      <c r="D23" s="8">
        <v>1952.9131633445247</v>
      </c>
      <c r="E23" s="8">
        <v>3360.9188020944598</v>
      </c>
      <c r="F23" s="8">
        <v>2564.2675799331937</v>
      </c>
      <c r="G23" s="8">
        <v>194.45993509742232</v>
      </c>
      <c r="H23" s="8">
        <v>2562.8016941960532</v>
      </c>
      <c r="I23" s="8">
        <v>2985.6141073679437</v>
      </c>
      <c r="J23" s="8">
        <v>4532.01305181924</v>
      </c>
      <c r="K23" s="8">
        <v>2381.1834393427748</v>
      </c>
      <c r="L23" s="8">
        <v>410.37308659861526</v>
      </c>
      <c r="M23" s="8">
        <v>2405.6087755217113</v>
      </c>
      <c r="N23" s="8">
        <v>2406.0317556495065</v>
      </c>
      <c r="O23" s="8">
        <v>2356.929601692183</v>
      </c>
      <c r="P23" s="8">
        <v>1780.7014709281025</v>
      </c>
      <c r="Q23" s="8">
        <v>1881.3365811034762</v>
      </c>
      <c r="R23" s="8">
        <v>843.23890675427128</v>
      </c>
      <c r="S23" s="8">
        <v>2482.6245033165255</v>
      </c>
      <c r="T23" s="8">
        <v>465.31989530548333</v>
      </c>
      <c r="U23" s="8">
        <v>1172.0726870319952</v>
      </c>
      <c r="V23" s="8">
        <v>1712.1305888853501</v>
      </c>
      <c r="W23" s="8">
        <v>2679.4735614238562</v>
      </c>
      <c r="X23" s="8">
        <v>3555.2183205601227</v>
      </c>
      <c r="Y23" s="1"/>
    </row>
    <row r="24" spans="1:29" x14ac:dyDescent="0.3">
      <c r="A24" t="s">
        <v>25</v>
      </c>
      <c r="C24" s="8">
        <v>0.39483640632615052</v>
      </c>
      <c r="D24" s="8">
        <v>1.0409401962815499</v>
      </c>
      <c r="E24" s="8">
        <v>1.5063053288436188</v>
      </c>
      <c r="F24" s="8">
        <v>1.2492044921216681</v>
      </c>
      <c r="G24" s="8">
        <v>0.50948651905323805</v>
      </c>
      <c r="H24" s="8">
        <v>1.2898710509102749</v>
      </c>
      <c r="I24" s="8">
        <v>1.1993142883125019</v>
      </c>
      <c r="J24" s="8">
        <v>2.0062789092763262</v>
      </c>
      <c r="K24" s="8">
        <v>1.1462990414977314</v>
      </c>
      <c r="L24" s="8">
        <v>0.58509612288253476</v>
      </c>
      <c r="M24" s="8">
        <v>1.024364514286797</v>
      </c>
      <c r="N24" s="8">
        <v>0.91280142643025575</v>
      </c>
      <c r="O24" s="8">
        <v>0.81180267793218941</v>
      </c>
      <c r="P24" s="8">
        <v>1.287364566939373</v>
      </c>
      <c r="Q24" s="8">
        <v>0.77996895249085707</v>
      </c>
      <c r="R24" s="8">
        <v>0.68070378740371984</v>
      </c>
      <c r="S24" s="8">
        <v>1.0090840792445834</v>
      </c>
      <c r="T24" s="8">
        <v>0.5123907449282854</v>
      </c>
      <c r="U24" s="8">
        <v>0.69319074666819402</v>
      </c>
      <c r="V24" s="8">
        <v>0.97614777015580834</v>
      </c>
      <c r="W24" s="8">
        <v>1.0950544947718512</v>
      </c>
      <c r="X24" s="8">
        <v>1.5091067494896742</v>
      </c>
      <c r="Y24" s="1"/>
    </row>
    <row r="25" spans="1:29" x14ac:dyDescent="0.3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9" x14ac:dyDescent="0.3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x14ac:dyDescent="0.3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9" spans="1:29" x14ac:dyDescent="0.3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9" x14ac:dyDescent="0.3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9" x14ac:dyDescent="0.3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9" x14ac:dyDescent="0.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7" spans="1:25" x14ac:dyDescent="0.3">
      <c r="A37" s="3"/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">
      <c r="A38" s="3"/>
      <c r="B38" s="1"/>
    </row>
    <row r="39" spans="1:25" x14ac:dyDescent="0.3">
      <c r="A39" s="3"/>
      <c r="B39" s="1"/>
    </row>
    <row r="40" spans="1:25" x14ac:dyDescent="0.3">
      <c r="A40" s="3"/>
      <c r="B40" s="1"/>
    </row>
    <row r="41" spans="1:25" x14ac:dyDescent="0.3">
      <c r="A41" s="3"/>
      <c r="B41" s="1"/>
    </row>
    <row r="42" spans="1:25" x14ac:dyDescent="0.3">
      <c r="A42" s="3"/>
      <c r="B42" s="1"/>
    </row>
    <row r="43" spans="1:25" x14ac:dyDescent="0.3">
      <c r="A43" s="3"/>
      <c r="B43" s="1"/>
    </row>
    <row r="44" spans="1:25" x14ac:dyDescent="0.3">
      <c r="A44" s="3"/>
      <c r="B44" s="1"/>
    </row>
    <row r="45" spans="1:25" x14ac:dyDescent="0.3">
      <c r="A45" s="3"/>
      <c r="B45" s="1"/>
    </row>
    <row r="46" spans="1:25" x14ac:dyDescent="0.3">
      <c r="A46" s="3"/>
      <c r="B46" s="1"/>
    </row>
    <row r="47" spans="1:25" x14ac:dyDescent="0.3">
      <c r="A47" s="3"/>
      <c r="B4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79BF-3171-45B0-A2C6-4DE1C34E5CBA}">
  <dimension ref="A1:AA47"/>
  <sheetViews>
    <sheetView zoomScale="74" zoomScaleNormal="90" workbookViewId="0">
      <selection activeCell="D1" sqref="D1:D1048576"/>
    </sheetView>
  </sheetViews>
  <sheetFormatPr defaultRowHeight="14.4" x14ac:dyDescent="0.3"/>
  <cols>
    <col min="3" max="3" width="12.5546875" bestFit="1" customWidth="1"/>
    <col min="4" max="4" width="11.5546875" style="16" customWidth="1"/>
    <col min="5" max="5" width="12.5546875" customWidth="1"/>
    <col min="6" max="6" width="11.5546875" customWidth="1"/>
    <col min="7" max="8" width="12.5546875" customWidth="1"/>
    <col min="9" max="9" width="11.5546875" customWidth="1"/>
    <col min="10" max="10" width="12.5546875" customWidth="1"/>
    <col min="11" max="11" width="10.5546875" customWidth="1"/>
    <col min="12" max="12" width="11.5546875" customWidth="1"/>
    <col min="13" max="13" width="13.5546875" customWidth="1"/>
    <col min="14" max="15" width="11.5546875" customWidth="1"/>
    <col min="16" max="18" width="12.5546875" customWidth="1"/>
    <col min="19" max="19" width="11.5546875" customWidth="1"/>
    <col min="20" max="22" width="12.5546875" customWidth="1"/>
    <col min="23" max="25" width="13.5546875" customWidth="1"/>
  </cols>
  <sheetData>
    <row r="1" spans="2:25" x14ac:dyDescent="0.3">
      <c r="B1" t="s">
        <v>0</v>
      </c>
      <c r="C1" t="s">
        <v>84</v>
      </c>
      <c r="D1" s="16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13</v>
      </c>
      <c r="X1" t="s">
        <v>13</v>
      </c>
      <c r="Y1" t="s">
        <v>13</v>
      </c>
    </row>
    <row r="2" spans="2:25" x14ac:dyDescent="0.3">
      <c r="C2" t="str">
        <f>'Valori input_5_20'!B$1</f>
        <v>S01</v>
      </c>
      <c r="D2" s="16" t="str">
        <f>'Valori input_4_20'!C$1</f>
        <v>S02</v>
      </c>
      <c r="E2" t="str">
        <f>'Valori input_4_20'!D$1</f>
        <v>S03</v>
      </c>
      <c r="F2" t="str">
        <f>'Valori input_4_20'!E$1</f>
        <v>S04</v>
      </c>
      <c r="G2" t="str">
        <f>'Valori input_4_20'!F$1</f>
        <v>S05</v>
      </c>
      <c r="H2" t="str">
        <f>'Valori input_4_20'!G$1</f>
        <v>S06</v>
      </c>
      <c r="I2" t="str">
        <f>'Valori input_4_20'!H$1</f>
        <v>S07</v>
      </c>
      <c r="J2" t="str">
        <f>'Valori input_4_20'!I$1</f>
        <v>S08</v>
      </c>
      <c r="K2" t="str">
        <f>'Valori input_4_20'!J$1</f>
        <v>S09</v>
      </c>
      <c r="L2" t="str">
        <f>'Valori input_4_20'!K$1</f>
        <v>S10</v>
      </c>
      <c r="M2" t="str">
        <f>'Valori input_4_20'!L$1</f>
        <v>S11</v>
      </c>
      <c r="N2" t="str">
        <f>'Valori input_4_20'!M$1</f>
        <v>S12</v>
      </c>
      <c r="O2" t="str">
        <f>'Valori input_4_20'!N$1</f>
        <v>S13</v>
      </c>
      <c r="P2" t="str">
        <f>'Valori input_4_20'!O$1</f>
        <v>S14</v>
      </c>
      <c r="Q2" t="str">
        <f>'Valori input_4_20'!P$1</f>
        <v>S15</v>
      </c>
      <c r="R2" t="str">
        <f>'Valori input_4_20'!Q$1</f>
        <v>S16</v>
      </c>
      <c r="S2" t="str">
        <f>'Valori input_4_20'!R$1</f>
        <v>S17</v>
      </c>
      <c r="T2" t="str">
        <f>'Valori input_4_20'!S$1</f>
        <v>S18</v>
      </c>
      <c r="U2" t="str">
        <f>'Valori input_4_20'!T$1</f>
        <v>S19</v>
      </c>
      <c r="V2" t="str">
        <f>'Valori input_4_20'!U$1</f>
        <v>S20</v>
      </c>
      <c r="W2" t="str">
        <f>'Valori input_4_20'!V$1</f>
        <v>S21</v>
      </c>
      <c r="X2" t="str">
        <f>'Valori input_4_20'!W$1</f>
        <v>S22</v>
      </c>
      <c r="Y2" t="str">
        <f>'Valori input_4_20'!X$1</f>
        <v>S23</v>
      </c>
    </row>
    <row r="3" spans="2:25" x14ac:dyDescent="0.3">
      <c r="B3" t="s">
        <v>0</v>
      </c>
      <c r="C3" t="s">
        <v>43</v>
      </c>
      <c r="D3" s="16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</row>
    <row r="4" spans="2:25" x14ac:dyDescent="0.3">
      <c r="B4">
        <v>0</v>
      </c>
      <c r="C4" s="1">
        <f>'Valori input_5_20'!B5*'Valori input_5_20'!$B$19</f>
        <v>0</v>
      </c>
      <c r="D4" s="17">
        <f>'Valori input_5_20'!C5*'Valori input_5_20'!$B$19</f>
        <v>0</v>
      </c>
      <c r="E4" s="1">
        <f>'Valori input_5_20'!D5*'Valori input_5_20'!$B$19</f>
        <v>0</v>
      </c>
      <c r="F4" s="1">
        <f>'Valori input_5_20'!E5*'Valori input_5_20'!$B$19</f>
        <v>0</v>
      </c>
      <c r="G4" s="1">
        <f>'Valori input_5_20'!F5*'Valori input_5_20'!$B$19</f>
        <v>0</v>
      </c>
      <c r="H4" s="1">
        <f>'Valori input_5_20'!G5*'Valori input_5_20'!$B$19</f>
        <v>0</v>
      </c>
      <c r="I4" s="1">
        <f>'Valori input_5_20'!H5*'Valori input_5_20'!$B$19</f>
        <v>0</v>
      </c>
      <c r="J4" s="1">
        <f>'Valori input_5_20'!I5*'Valori input_5_20'!$B$19</f>
        <v>0</v>
      </c>
      <c r="K4" s="1">
        <f>'Valori input_5_20'!J5*'Valori input_5_20'!$B$19</f>
        <v>0</v>
      </c>
      <c r="L4" s="1">
        <f>'Valori input_5_20'!K5*'Valori input_5_20'!$B$19</f>
        <v>0</v>
      </c>
      <c r="M4" s="1">
        <f>'Valori input_5_20'!L5*'Valori input_5_20'!$B$19</f>
        <v>0</v>
      </c>
      <c r="N4" s="1">
        <f>'Valori input_5_20'!M5*'Valori input_5_20'!$B$19</f>
        <v>0</v>
      </c>
      <c r="O4" s="1">
        <f>'Valori input_5_20'!N5*'Valori input_5_20'!$B$19</f>
        <v>0</v>
      </c>
      <c r="P4" s="1">
        <f>'Valori input_5_20'!O5*'Valori input_5_20'!$B$19</f>
        <v>0</v>
      </c>
      <c r="Q4" s="1">
        <f>'Valori input_5_20'!P5*'Valori input_5_20'!$B$19</f>
        <v>0</v>
      </c>
      <c r="R4" s="1">
        <f>'Valori input_5_20'!Q5*'Valori input_5_20'!$B$19</f>
        <v>0</v>
      </c>
      <c r="S4" s="1">
        <f>'Valori input_5_20'!R5*'Valori input_5_20'!$B$19</f>
        <v>0</v>
      </c>
      <c r="T4" s="1">
        <f>'Valori input_5_20'!S5*'Valori input_5_20'!$B$19</f>
        <v>0</v>
      </c>
      <c r="U4" s="1">
        <f>'Valori input_5_20'!T5*'Valori input_5_20'!$B$19</f>
        <v>0</v>
      </c>
      <c r="V4" s="1">
        <f>'Valori input_5_20'!U5*'Valori input_5_20'!$B$19</f>
        <v>0</v>
      </c>
      <c r="W4" s="1">
        <f>'Valori input_5_20'!V5*'Valori input_5_20'!$B$19</f>
        <v>0</v>
      </c>
      <c r="X4" s="1">
        <f>'Valori input_5_20'!W5*'Valori input_5_20'!$B$19</f>
        <v>0</v>
      </c>
      <c r="Y4" s="1">
        <f>'Valori input_5_20'!X5*'Valori input_5_20'!$B$19</f>
        <v>0</v>
      </c>
    </row>
    <row r="5" spans="2:25" x14ac:dyDescent="0.3">
      <c r="B5">
        <v>5</v>
      </c>
      <c r="C5" s="1">
        <f>'Valori input_5_20'!B6*'Valori input_5_20'!$B$19</f>
        <v>3.8313399554024227E-2</v>
      </c>
      <c r="D5" s="17">
        <f>'Valori input_5_20'!C6*'Valori input_5_20'!$B$19</f>
        <v>4.8975385350698959E-2</v>
      </c>
      <c r="E5" s="1">
        <f>'Valori input_5_20'!D6*'Valori input_5_20'!$B$19</f>
        <v>2.6373398619152968E-2</v>
      </c>
      <c r="F5" s="1">
        <f>'Valori input_5_20'!E6*'Valori input_5_20'!$B$19</f>
        <v>2.293731359253148E-2</v>
      </c>
      <c r="G5" s="1">
        <f>'Valori input_5_20'!F6*'Valori input_5_20'!$B$19</f>
        <v>9.9700897308077543E-3</v>
      </c>
      <c r="H5" s="1">
        <f>'Valori input_5_20'!G6*'Valori input_5_20'!$B$19</f>
        <v>2.197228745244207E-4</v>
      </c>
      <c r="I5" s="1">
        <f>'Valori input_5_20'!H6*'Valori input_5_20'!$B$19</f>
        <v>2.6838720915042844E-2</v>
      </c>
      <c r="J5" s="1">
        <f>'Valori input_5_20'!I6*'Valori input_5_20'!$B$19</f>
        <v>4.4318358464169642E-2</v>
      </c>
      <c r="K5" s="1">
        <f>'Valori input_5_20'!J6*'Valori input_5_20'!$B$19</f>
        <v>6.0521096902142434E-3</v>
      </c>
      <c r="L5" s="1">
        <f>'Valori input_5_20'!K6*'Valori input_5_20'!$B$19</f>
        <v>8.9873160143797565E-3</v>
      </c>
      <c r="M5" s="1">
        <f>'Valori input_5_20'!L6*'Valori input_5_20'!$B$19</f>
        <v>4.688755916763385E-3</v>
      </c>
      <c r="N5" s="1">
        <f>'Valori input_5_20'!M6*'Valori input_5_20'!$B$19</f>
        <v>1.0726573568103892E-2</v>
      </c>
      <c r="O5" s="1">
        <f>'Valori input_5_20'!N6*'Valori input_5_20'!$B$19</f>
        <v>1.0056086486988859E-2</v>
      </c>
      <c r="P5" s="1">
        <f>'Valori input_5_20'!O6*'Valori input_5_20'!$B$19</f>
        <v>6.7501930405761161E-3</v>
      </c>
      <c r="Q5" s="1">
        <f>'Valori input_5_20'!P6*'Valori input_5_20'!$B$19</f>
        <v>4.8563003182925616E-3</v>
      </c>
      <c r="R5" s="1">
        <f>'Valori input_5_20'!Q6*'Valori input_5_20'!$B$19</f>
        <v>3.9387516213740337E-3</v>
      </c>
      <c r="S5" s="1">
        <f>'Valori input_5_20'!R6*'Valori input_5_20'!$B$19</f>
        <v>1.0058176732283033E-2</v>
      </c>
      <c r="T5" s="1">
        <f>'Valori input_5_20'!S6*'Valori input_5_20'!$B$19</f>
        <v>6.5054922360050487E-3</v>
      </c>
      <c r="U5" s="1">
        <f>'Valori input_5_20'!T6*'Valori input_5_20'!$B$19</f>
        <v>2.7296926128755491E-3</v>
      </c>
      <c r="V5" s="1">
        <f>'Valori input_5_20'!U6*'Valori input_5_20'!$B$19</f>
        <v>3.2551905243868792E-3</v>
      </c>
      <c r="W5" s="1">
        <f>'Valori input_5_20'!V6*'Valori input_5_20'!$B$19</f>
        <v>0</v>
      </c>
      <c r="X5" s="1">
        <f>'Valori input_5_20'!W6*'Valori input_5_20'!$B$19</f>
        <v>0</v>
      </c>
      <c r="Y5" s="1">
        <f>'Valori input_5_20'!X6*'Valori input_5_20'!$B$19</f>
        <v>0</v>
      </c>
    </row>
    <row r="6" spans="2:25" x14ac:dyDescent="0.3">
      <c r="B6">
        <v>10</v>
      </c>
      <c r="C6" s="1">
        <f>'Valori input_5_20'!B7*'Valori input_5_20'!$B$19</f>
        <v>7.6766166632881078E-2</v>
      </c>
      <c r="D6" s="17">
        <f>'Valori input_5_20'!C7*'Valori input_5_20'!$B$19</f>
        <v>9.4605090213884635E-2</v>
      </c>
      <c r="E6" s="1">
        <f>'Valori input_5_20'!D7*'Valori input_5_20'!$B$19</f>
        <v>5.7992979183668018E-2</v>
      </c>
      <c r="F6" s="1">
        <f>'Valori input_5_20'!E7*'Valori input_5_20'!$B$19</f>
        <v>6.0546483168158041E-2</v>
      </c>
      <c r="G6" s="1">
        <f>'Valori input_5_20'!F7*'Valori input_5_20'!$B$19</f>
        <v>2.472195065289565E-2</v>
      </c>
      <c r="H6" s="1">
        <f>'Valori input_5_20'!G7*'Valori input_5_20'!$B$19</f>
        <v>1.5929908403024312E-3</v>
      </c>
      <c r="I6" s="1">
        <f>'Valori input_5_20'!H7*'Valori input_5_20'!$B$19</f>
        <v>6.6131537311483607E-2</v>
      </c>
      <c r="J6" s="1">
        <f>'Valori input_5_20'!I7*'Valori input_5_20'!$B$19</f>
        <v>8.852790300015588E-2</v>
      </c>
      <c r="K6" s="1">
        <f>'Valori input_5_20'!J7*'Valori input_5_20'!$B$19</f>
        <v>1.5352526841277601E-2</v>
      </c>
      <c r="L6" s="1">
        <f>'Valori input_5_20'!K7*'Valori input_5_20'!$B$19</f>
        <v>2.5469714440751638E-2</v>
      </c>
      <c r="M6" s="1">
        <f>'Valori input_5_20'!L7*'Valori input_5_20'!$B$19</f>
        <v>1.0925545533029558E-2</v>
      </c>
      <c r="N6" s="1">
        <f>'Valori input_5_20'!M7*'Valori input_5_20'!$B$19</f>
        <v>2.1829010900049347E-2</v>
      </c>
      <c r="O6" s="1">
        <f>'Valori input_5_20'!N7*'Valori input_5_20'!$B$19</f>
        <v>2.018184562862179E-2</v>
      </c>
      <c r="P6" s="1">
        <f>'Valori input_5_20'!O7*'Valori input_5_20'!$B$19</f>
        <v>1.4110643385558124E-2</v>
      </c>
      <c r="Q6" s="1">
        <f>'Valori input_5_20'!P7*'Valori input_5_20'!$B$19</f>
        <v>7.3137052986333483E-3</v>
      </c>
      <c r="R6" s="1">
        <f>'Valori input_5_20'!Q7*'Valori input_5_20'!$B$19</f>
        <v>1.5849916163118431E-2</v>
      </c>
      <c r="S6" s="1">
        <f>'Valori input_5_20'!R7*'Valori input_5_20'!$B$19</f>
        <v>2.102397000401731E-2</v>
      </c>
      <c r="T6" s="1">
        <f>'Valori input_5_20'!S7*'Valori input_5_20'!$B$19</f>
        <v>1.373381694267708E-2</v>
      </c>
      <c r="U6" s="1">
        <f>'Valori input_5_20'!T7*'Valori input_5_20'!$B$19</f>
        <v>7.6634848510538922E-3</v>
      </c>
      <c r="V6" s="1">
        <f>'Valori input_5_20'!U7*'Valori input_5_20'!$B$19</f>
        <v>1.0887107804251102E-2</v>
      </c>
      <c r="W6" s="1">
        <f>'Valori input_5_20'!V7*'Valori input_5_20'!$B$19</f>
        <v>0</v>
      </c>
      <c r="X6" s="1">
        <f>'Valori input_5_20'!W7*'Valori input_5_20'!$B$19</f>
        <v>0</v>
      </c>
      <c r="Y6" s="1">
        <f>'Valori input_5_20'!X7*'Valori input_5_20'!$B$19</f>
        <v>0</v>
      </c>
    </row>
    <row r="7" spans="2:25" x14ac:dyDescent="0.3">
      <c r="B7">
        <v>15</v>
      </c>
      <c r="C7" s="1">
        <f>'Valori input_5_20'!B8*'Valori input_5_20'!$B$19</f>
        <v>0.19269460774376679</v>
      </c>
      <c r="D7" s="17">
        <f>'Valori input_5_20'!C8*'Valori input_5_20'!$B$19</f>
        <v>0.24958178993906072</v>
      </c>
      <c r="E7" s="1">
        <f>'Valori input_5_20'!D8*'Valori input_5_20'!$B$19</f>
        <v>0.1298332879959585</v>
      </c>
      <c r="F7" s="1">
        <f>'Valori input_5_20'!E8*'Valori input_5_20'!$B$19</f>
        <v>0.12969278711765558</v>
      </c>
      <c r="G7" s="1">
        <f>'Valori input_5_20'!F8*'Valori input_5_20'!$B$19</f>
        <v>4.5755936075269545E-2</v>
      </c>
      <c r="H7" s="1">
        <f>'Valori input_5_20'!G8*'Valori input_5_20'!$B$19</f>
        <v>2.9250607671074368E-3</v>
      </c>
      <c r="I7" s="1">
        <f>'Valori input_5_20'!H8*'Valori input_5_20'!$B$19</f>
        <v>0.14428171222040007</v>
      </c>
      <c r="J7" s="1">
        <f>'Valori input_5_20'!I8*'Valori input_5_20'!$B$19</f>
        <v>0.23051453443183637</v>
      </c>
      <c r="K7" s="1">
        <f>'Valori input_5_20'!J8*'Valori input_5_20'!$B$19</f>
        <v>2.9474116118443562E-2</v>
      </c>
      <c r="L7" s="1">
        <f>'Valori input_5_20'!K8*'Valori input_5_20'!$B$19</f>
        <v>5.1436840082299207E-2</v>
      </c>
      <c r="M7" s="1">
        <f>'Valori input_5_20'!L8*'Valori input_5_20'!$B$19</f>
        <v>1.7519573695334863E-2</v>
      </c>
      <c r="N7" s="1">
        <f>'Valori input_5_20'!M8*'Valori input_5_20'!$B$19</f>
        <v>3.4478272183190412E-2</v>
      </c>
      <c r="O7" s="1">
        <f>'Valori input_5_20'!N8*'Valori input_5_20'!$B$19</f>
        <v>3.2432620736904519E-2</v>
      </c>
      <c r="P7" s="1">
        <f>'Valori input_5_20'!O8*'Valori input_5_20'!$B$19</f>
        <v>2.3115052183226716E-2</v>
      </c>
      <c r="Q7" s="1">
        <f>'Valori input_5_20'!P8*'Valori input_5_20'!$B$19</f>
        <v>9.7126006365851232E-3</v>
      </c>
      <c r="R7" s="1">
        <f>'Valori input_5_20'!Q8*'Valori input_5_20'!$B$19</f>
        <v>5.7863266791104054E-2</v>
      </c>
      <c r="S7" s="1">
        <f>'Valori input_5_20'!R8*'Valori input_5_20'!$B$19</f>
        <v>3.3998422830275911E-2</v>
      </c>
      <c r="T7" s="1">
        <f>'Valori input_5_20'!S8*'Valori input_5_20'!$B$19</f>
        <v>2.1478450556968509E-2</v>
      </c>
      <c r="U7" s="1">
        <f>'Valori input_5_20'!T8*'Valori input_5_20'!$B$19</f>
        <v>1.2919414726776815E-2</v>
      </c>
      <c r="V7" s="1">
        <f>'Valori input_5_20'!U8*'Valori input_5_20'!$B$19</f>
        <v>2.125447930628907E-2</v>
      </c>
      <c r="W7" s="1">
        <f>'Valori input_5_20'!V8*'Valori input_5_20'!$B$19</f>
        <v>0</v>
      </c>
      <c r="X7" s="1">
        <f>'Valori input_5_20'!W8*'Valori input_5_20'!$B$19</f>
        <v>0</v>
      </c>
      <c r="Y7" s="1">
        <f>'Valori input_5_20'!X8*'Valori input_5_20'!$B$19</f>
        <v>0</v>
      </c>
    </row>
    <row r="8" spans="2:25" x14ac:dyDescent="0.3">
      <c r="B8">
        <v>20</v>
      </c>
      <c r="C8" s="1">
        <f>'Valori input_5_20'!B9*'Valori input_5_20'!$B$19</f>
        <v>0.24030762213663137</v>
      </c>
      <c r="D8" s="17">
        <f>'Valori input_5_20'!C9*'Valori input_5_20'!$B$19</f>
        <v>0.30639861393236945</v>
      </c>
      <c r="E8" s="1">
        <f>'Valori input_5_20'!D9*'Valori input_5_20'!$B$19</f>
        <v>0.16581821008044131</v>
      </c>
      <c r="F8" s="1">
        <f>'Valori input_5_20'!E9*'Valori input_5_20'!$B$19</f>
        <v>0.16472067300619248</v>
      </c>
      <c r="G8" s="1">
        <f>'Valori input_5_20'!F9*'Valori input_5_20'!$B$19</f>
        <v>5.8020114414039717E-2</v>
      </c>
      <c r="H8" s="1">
        <f>'Valori input_5_20'!G9*'Valori input_5_20'!$B$19</f>
        <v>3.9962097804144073E-3</v>
      </c>
      <c r="I8" s="1">
        <f>'Valori input_5_20'!H9*'Valori input_5_20'!$B$19</f>
        <v>0.18334228441205974</v>
      </c>
      <c r="J8" s="1">
        <f>'Valori input_5_20'!I9*'Valori input_5_20'!$B$19</f>
        <v>0.28313384113166523</v>
      </c>
      <c r="K8" s="1">
        <f>'Valori input_5_20'!J9*'Valori input_5_20'!$B$19</f>
        <v>4.2535731382069404E-2</v>
      </c>
      <c r="L8" s="1">
        <f>'Valori input_5_20'!K9*'Valori input_5_20'!$B$19</f>
        <v>7.3933392118293403E-2</v>
      </c>
      <c r="M8" s="1">
        <f>'Valori input_5_20'!L9*'Valori input_5_20'!$B$19</f>
        <v>2.2372063945699527E-2</v>
      </c>
      <c r="N8" s="1">
        <f>'Valori input_5_20'!M9*'Valori input_5_20'!$B$19</f>
        <v>4.381704108480073E-2</v>
      </c>
      <c r="O8" s="1">
        <f>'Valori input_5_20'!N9*'Valori input_5_20'!$B$19</f>
        <v>4.0816563512430869E-2</v>
      </c>
      <c r="P8" s="1">
        <f>'Valori input_5_20'!O9*'Valori input_5_20'!$B$19</f>
        <v>3.0512865220315481E-2</v>
      </c>
      <c r="Q8" s="1">
        <f>'Valori input_5_20'!P9*'Valori input_5_20'!$B$19</f>
        <v>1.1444486051301491E-2</v>
      </c>
      <c r="R8" s="1">
        <f>'Valori input_5_20'!Q9*'Valori input_5_20'!$B$19</f>
        <v>7.2131354993831276E-2</v>
      </c>
      <c r="S8" s="1">
        <f>'Valori input_5_20'!R9*'Valori input_5_20'!$B$19</f>
        <v>4.3595351813001504E-2</v>
      </c>
      <c r="T8" s="1">
        <f>'Valori input_5_20'!S9*'Valori input_5_20'!$B$19</f>
        <v>2.6964232700424792E-2</v>
      </c>
      <c r="U8" s="1">
        <f>'Valori input_5_20'!T9*'Valori input_5_20'!$B$19</f>
        <v>1.6903748664824313E-2</v>
      </c>
      <c r="V8" s="1">
        <f>'Valori input_5_20'!U9*'Valori input_5_20'!$B$19</f>
        <v>2.7094674070629821E-2</v>
      </c>
      <c r="W8" s="1">
        <f>'Valori input_5_20'!V9*'Valori input_5_20'!$B$19</f>
        <v>0</v>
      </c>
      <c r="X8" s="1">
        <f>'Valori input_5_20'!W9*'Valori input_5_20'!$B$19</f>
        <v>0</v>
      </c>
      <c r="Y8" s="1">
        <f>'Valori input_5_20'!X9*'Valori input_5_20'!$B$19</f>
        <v>0</v>
      </c>
    </row>
    <row r="9" spans="2:25" x14ac:dyDescent="0.3">
      <c r="B9">
        <v>25</v>
      </c>
      <c r="C9" s="1">
        <f>'Valori input_5_20'!B10*'Valori input_5_20'!$B$19</f>
        <v>0.29667545104398968</v>
      </c>
      <c r="D9" s="17">
        <f>'Valori input_5_20'!C10*'Valori input_5_20'!$B$19</f>
        <v>0.36993667104791506</v>
      </c>
      <c r="E9" s="1">
        <f>'Valori input_5_20'!D10*'Valori input_5_20'!$B$19</f>
        <v>0.21052086166919257</v>
      </c>
      <c r="F9" s="1">
        <f>'Valori input_5_20'!E10*'Valori input_5_20'!$B$19</f>
        <v>0.20152737096925205</v>
      </c>
      <c r="G9" s="1">
        <f>'Valori input_5_20'!F10*'Valori input_5_20'!$B$19</f>
        <v>7.018749576513178E-2</v>
      </c>
      <c r="H9" s="1">
        <f>'Valori input_5_20'!G10*'Valori input_5_20'!$B$19</f>
        <v>5.1497548716679976E-3</v>
      </c>
      <c r="I9" s="1">
        <f>'Valori input_5_20'!H10*'Valori input_5_20'!$B$19</f>
        <v>0.22561072968226137</v>
      </c>
      <c r="J9" s="1">
        <f>'Valori input_5_20'!I10*'Valori input_5_20'!$B$19</f>
        <v>0.34568630498989622</v>
      </c>
      <c r="K9" s="1">
        <f>'Valori input_5_20'!J10*'Valori input_5_20'!$B$19</f>
        <v>6.1318926804805302E-2</v>
      </c>
      <c r="L9" s="1">
        <f>'Valori input_5_20'!K10*'Valori input_5_20'!$B$19</f>
        <v>0.10215017296344069</v>
      </c>
      <c r="M9" s="1">
        <f>'Valori input_5_20'!L10*'Valori input_5_20'!$B$19</f>
        <v>2.7522252984430198E-2</v>
      </c>
      <c r="N9" s="1">
        <f>'Valori input_5_20'!M10*'Valori input_5_20'!$B$19</f>
        <v>5.5454361465290612E-2</v>
      </c>
      <c r="O9" s="1">
        <f>'Valori input_5_20'!N10*'Valori input_5_20'!$B$19</f>
        <v>5.1755170291580124E-2</v>
      </c>
      <c r="P9" s="1">
        <f>'Valori input_5_20'!O10*'Valori input_5_20'!$B$19</f>
        <v>4.0413978628540168E-2</v>
      </c>
      <c r="Q9" s="1">
        <f>'Valori input_5_20'!P10*'Valori input_5_20'!$B$19</f>
        <v>1.3106159895150909E-2</v>
      </c>
      <c r="R9" s="1">
        <f>'Valori input_5_20'!Q10*'Valori input_5_20'!$B$19</f>
        <v>8.8155272232592188E-2</v>
      </c>
      <c r="S9" s="1">
        <f>'Valori input_5_20'!R10*'Valori input_5_20'!$B$19</f>
        <v>5.6019283131723399E-2</v>
      </c>
      <c r="T9" s="1">
        <f>'Valori input_5_20'!S10*'Valori input_5_20'!$B$19</f>
        <v>3.2850154247286358E-2</v>
      </c>
      <c r="U9" s="1">
        <f>'Valori input_5_20'!T10*'Valori input_5_20'!$B$19</f>
        <v>2.1311947915430673E-2</v>
      </c>
      <c r="V9" s="1">
        <f>'Valori input_5_20'!U10*'Valori input_5_20'!$B$19</f>
        <v>3.3454605137183083E-2</v>
      </c>
      <c r="W9" s="1">
        <f>'Valori input_5_20'!V10*'Valori input_5_20'!$B$19</f>
        <v>0</v>
      </c>
      <c r="X9" s="1">
        <f>'Valori input_5_20'!W10*'Valori input_5_20'!$B$19</f>
        <v>0</v>
      </c>
      <c r="Y9" s="1">
        <f>'Valori input_5_20'!X10*'Valori input_5_20'!$B$19</f>
        <v>0</v>
      </c>
    </row>
    <row r="10" spans="2:25" x14ac:dyDescent="0.3">
      <c r="B10">
        <v>30</v>
      </c>
      <c r="C10" s="1">
        <f>'Valori input_5_20'!B11*'Valori input_5_20'!$B$19</f>
        <v>0.35366409892560347</v>
      </c>
      <c r="D10" s="17">
        <f>'Valori input_5_20'!C11*'Valori input_5_20'!$B$19</f>
        <v>0.4334747281634605</v>
      </c>
      <c r="E10" s="1">
        <f>'Valori input_5_20'!D11*'Valori input_5_20'!$B$19</f>
        <v>0.25939455174289849</v>
      </c>
      <c r="F10" s="1">
        <f>'Valori input_5_20'!E11*'Valori input_5_20'!$B$19</f>
        <v>0.24304190239270287</v>
      </c>
      <c r="G10" s="1">
        <f>'Valori input_5_20'!F11*'Valori input_5_20'!$B$19</f>
        <v>8.1686977901247834E-2</v>
      </c>
      <c r="H10" s="1">
        <f>'Valori input_5_20'!G11*'Valori input_5_20'!$B$19</f>
        <v>6.3307653222373309E-3</v>
      </c>
      <c r="I10" s="1">
        <f>'Valori input_5_20'!H11*'Valori input_5_20'!$B$19</f>
        <v>0.27210311642692331</v>
      </c>
      <c r="J10" s="1">
        <f>'Valori input_5_20'!I11*'Valori input_5_20'!$B$19</f>
        <v>0.40705736048499963</v>
      </c>
      <c r="K10" s="1">
        <f>'Valori input_5_20'!J11*'Valori input_5_20'!$B$19</f>
        <v>8.1458433062071331E-2</v>
      </c>
      <c r="L10" s="1">
        <f>'Valori input_5_20'!K11*'Valori input_5_20'!$B$19</f>
        <v>0.13327228741323566</v>
      </c>
      <c r="M10" s="1">
        <f>'Valori input_5_20'!L11*'Valori input_5_20'!$B$19</f>
        <v>3.2330088416540184E-2</v>
      </c>
      <c r="N10" s="1">
        <f>'Valori input_5_20'!M11*'Valori input_5_20'!$B$19</f>
        <v>6.7655477491543325E-2</v>
      </c>
      <c r="O10" s="1">
        <f>'Valori input_5_20'!N11*'Valori input_5_20'!$B$19</f>
        <v>6.4145290709151773E-2</v>
      </c>
      <c r="P10" s="1">
        <f>'Valori input_5_20'!O11*'Valori input_5_20'!$B$19</f>
        <v>5.0178095499041113E-2</v>
      </c>
      <c r="Q10" s="1">
        <f>'Valori input_5_20'!P11*'Valori input_5_20'!$B$19</f>
        <v>1.4604006740310958E-2</v>
      </c>
      <c r="R10" s="1">
        <f>'Valori input_5_20'!Q11*'Valori input_5_20'!$B$19</f>
        <v>9.6997690531178113E-2</v>
      </c>
      <c r="S10" s="1">
        <f>'Valori input_5_20'!R11*'Valori input_5_20'!$B$19</f>
        <v>6.9529378505854902E-2</v>
      </c>
      <c r="T10" s="1">
        <f>'Valori input_5_20'!S11*'Valori input_5_20'!$B$19</f>
        <v>3.8632814012624132E-2</v>
      </c>
      <c r="U10" s="1">
        <f>'Valori input_5_20'!T11*'Valori input_5_20'!$B$19</f>
        <v>2.5567555653515421E-2</v>
      </c>
      <c r="V10" s="1">
        <f>'Valori input_5_20'!U11*'Valori input_5_20'!$B$19</f>
        <v>3.9923954372623804E-2</v>
      </c>
      <c r="W10" s="1">
        <f>'Valori input_5_20'!V11*'Valori input_5_20'!$B$19</f>
        <v>0</v>
      </c>
      <c r="X10" s="1">
        <f>'Valori input_5_20'!W11*'Valori input_5_20'!$B$19</f>
        <v>0</v>
      </c>
      <c r="Y10" s="1">
        <f>'Valori input_5_20'!X11*'Valori input_5_20'!$B$19</f>
        <v>0</v>
      </c>
    </row>
    <row r="11" spans="2:25" x14ac:dyDescent="0.3">
      <c r="B11">
        <v>35</v>
      </c>
      <c r="C11" s="1">
        <f>'Valori input_5_20'!B12*'Valori input_5_20'!$B$19</f>
        <v>0.41791252787350547</v>
      </c>
      <c r="D11" s="17">
        <f>'Valori input_5_20'!C12*'Valori input_5_20'!$B$19</f>
        <v>0.50917074919345184</v>
      </c>
      <c r="E11" s="1">
        <f>'Valori input_5_20'!D12*'Valori input_5_20'!$B$19</f>
        <v>0.31515952279174581</v>
      </c>
      <c r="F11" s="1">
        <f>'Valori input_5_20'!E12*'Valori input_5_20'!$B$19</f>
        <v>0.30381575251775489</v>
      </c>
      <c r="G11" s="1">
        <f>'Valori input_5_20'!F12*'Valori input_5_20'!$B$19</f>
        <v>9.3186460037363847E-2</v>
      </c>
      <c r="H11" s="1">
        <f>'Valori input_5_20'!G12*'Valori input_5_20'!$B$19</f>
        <v>7.6491025693841601E-3</v>
      </c>
      <c r="I11" s="1">
        <f>'Valori input_5_20'!H12*'Valori input_5_20'!$B$19</f>
        <v>0.33733470744487859</v>
      </c>
      <c r="J11" s="1">
        <f>'Valori input_5_20'!I12*'Valori input_5_20'!$B$19</f>
        <v>0.47358930514534464</v>
      </c>
      <c r="K11" s="1">
        <f>'Valori input_5_20'!J12*'Valori input_5_20'!$B$19</f>
        <v>0.10502860790079555</v>
      </c>
      <c r="L11" s="1">
        <f>'Valori input_5_20'!K12*'Valori input_5_20'!$B$19</f>
        <v>0.17386782427818884</v>
      </c>
      <c r="M11" s="1">
        <f>'Valori input_5_20'!L12*'Valori input_5_20'!$B$19</f>
        <v>3.7658896728290245E-2</v>
      </c>
      <c r="N11" s="1">
        <f>'Valori input_5_20'!M12*'Valori input_5_20'!$B$19</f>
        <v>8.1779281232833234E-2</v>
      </c>
      <c r="O11" s="1">
        <f>'Valori input_5_20'!N12*'Valori input_5_20'!$B$19</f>
        <v>7.8753323966232053E-2</v>
      </c>
      <c r="P11" s="1">
        <f>'Valori input_5_20'!O12*'Valori input_5_20'!$B$19</f>
        <v>6.1349540438887074E-2</v>
      </c>
      <c r="Q11" s="1">
        <f>'Valori input_5_20'!P12*'Valori input_5_20'!$B$19</f>
        <v>1.6253978655682708E-2</v>
      </c>
      <c r="R11" s="1">
        <f>'Valori input_5_20'!Q12*'Valori input_5_20'!$B$19</f>
        <v>0.10533392388243895</v>
      </c>
      <c r="S11" s="1">
        <f>'Valori input_5_20'!R12*'Valori input_5_20'!$B$19</f>
        <v>8.5806960377330682E-2</v>
      </c>
      <c r="T11" s="1">
        <f>'Valori input_5_20'!S12*'Valori input_5_20'!$B$19</f>
        <v>4.5022136744414472E-2</v>
      </c>
      <c r="U11" s="1">
        <f>'Valori input_5_20'!T12*'Valori input_5_20'!$B$19</f>
        <v>3.0484393279191831E-2</v>
      </c>
      <c r="V11" s="1">
        <f>'Valori input_5_20'!U12*'Valori input_5_20'!$B$19</f>
        <v>4.7200262603605631E-2</v>
      </c>
      <c r="W11" s="1">
        <f>'Valori input_5_20'!V12*'Valori input_5_20'!$B$19</f>
        <v>0</v>
      </c>
      <c r="X11" s="1">
        <f>'Valori input_5_20'!W12*'Valori input_5_20'!$B$19</f>
        <v>0</v>
      </c>
      <c r="Y11" s="1">
        <f>'Valori input_5_20'!X12*'Valori input_5_20'!$B$19</f>
        <v>0</v>
      </c>
    </row>
    <row r="12" spans="2:25" x14ac:dyDescent="0.3">
      <c r="B12">
        <v>40</v>
      </c>
      <c r="C12" s="1">
        <f>'Valori input_5_20'!B13*'Valori input_5_20'!$B$19</f>
        <v>0.47727042367727612</v>
      </c>
      <c r="D12" s="17">
        <f>'Valori input_5_20'!C13*'Valori input_5_20'!$B$19</f>
        <v>0.5812821125582508</v>
      </c>
      <c r="E12" s="1">
        <f>'Valori input_5_20'!D13*'Valori input_5_20'!$B$19</f>
        <v>0.36681822303397693</v>
      </c>
      <c r="F12" s="1">
        <f>'Valori input_5_20'!E13*'Valori input_5_20'!$B$19</f>
        <v>0.36250317645013286</v>
      </c>
      <c r="G12" s="1">
        <f>'Valori input_5_20'!F13*'Valori input_5_20'!$B$19</f>
        <v>0.10519896620817189</v>
      </c>
      <c r="H12" s="1">
        <f>'Valori input_5_20'!G13*'Valori input_5_20'!$B$19</f>
        <v>8.9262417775579847E-3</v>
      </c>
      <c r="I12" s="1">
        <f>'Valori input_5_20'!H13*'Valori input_5_20'!$B$19</f>
        <v>0.40091155850376714</v>
      </c>
      <c r="J12" s="1">
        <f>'Valori input_5_20'!I13*'Valori input_5_20'!$B$19</f>
        <v>0.53514689880304755</v>
      </c>
      <c r="K12" s="1">
        <f>'Valori input_5_20'!J13*'Valori input_5_20'!$B$19</f>
        <v>0.13013745469465904</v>
      </c>
      <c r="L12" s="1">
        <f>'Valori input_5_20'!K13*'Valori input_5_20'!$B$19</f>
        <v>0.21505121074408182</v>
      </c>
      <c r="M12" s="1">
        <f>'Valori input_5_20'!L13*'Valori input_5_20'!$B$19</f>
        <v>4.2183918311452517E-2</v>
      </c>
      <c r="N12" s="1">
        <f>'Valori input_5_20'!M13*'Valori input_5_20'!$B$19</f>
        <v>9.7392083730881721E-2</v>
      </c>
      <c r="O12" s="1">
        <f>'Valori input_5_20'!N13*'Valori input_5_20'!$B$19</f>
        <v>9.347747831438652E-2</v>
      </c>
      <c r="P12" s="1">
        <f>'Valori input_5_20'!O13*'Valori input_5_20'!$B$19</f>
        <v>7.2222083841881238E-2</v>
      </c>
      <c r="Q12" s="1">
        <f>'Valori input_5_20'!P13*'Valori input_5_20'!$B$19</f>
        <v>1.7915652499532128E-2</v>
      </c>
      <c r="R12" s="1">
        <f>'Valori input_5_20'!Q13*'Valori input_5_20'!$B$19</f>
        <v>0.11507798411844763</v>
      </c>
      <c r="S12" s="1">
        <f>'Valori input_5_20'!R13*'Valori input_5_20'!$B$19</f>
        <v>0.10315582734455231</v>
      </c>
      <c r="T12" s="1">
        <f>'Valori input_5_20'!S13*'Valori input_5_20'!$B$19</f>
        <v>5.0417564829037288E-2</v>
      </c>
      <c r="U12" s="1">
        <f>'Valori input_5_20'!T13*'Valori input_5_20'!$B$19</f>
        <v>3.4926501754802629E-2</v>
      </c>
      <c r="V12" s="1">
        <f>'Valori input_5_20'!U13*'Valori input_5_20'!$B$19</f>
        <v>5.4558634461252434E-2</v>
      </c>
      <c r="W12" s="1">
        <f>'Valori input_5_20'!V13*'Valori input_5_20'!$B$19</f>
        <v>0</v>
      </c>
      <c r="X12" s="1">
        <f>'Valori input_5_20'!W13*'Valori input_5_20'!$B$19</f>
        <v>0</v>
      </c>
      <c r="Y12" s="1">
        <f>'Valori input_5_20'!X13*'Valori input_5_20'!$B$19</f>
        <v>0</v>
      </c>
    </row>
    <row r="13" spans="2:25" x14ac:dyDescent="0.3">
      <c r="B13">
        <v>45</v>
      </c>
      <c r="C13" s="1">
        <f>'Valori input_5_20'!B14*'Valori input_5_20'!$B$19</f>
        <v>0.53705909183052991</v>
      </c>
      <c r="D13" s="17">
        <f>'Valori input_5_20'!C14*'Valori input_5_20'!$B$19</f>
        <v>0.64971920181622655</v>
      </c>
      <c r="E13" s="1">
        <f>'Valori input_5_20'!D14*'Valori input_5_20'!$B$19</f>
        <v>0.41535512118032603</v>
      </c>
      <c r="F13" s="1">
        <f>'Valori input_5_20'!E14*'Valori input_5_20'!$B$19</f>
        <v>0.41264427770867601</v>
      </c>
      <c r="G13" s="1">
        <f>'Valori input_5_20'!F14*'Valori input_5_20'!$B$19</f>
        <v>0.11967979556476215</v>
      </c>
      <c r="H13" s="1">
        <f>'Valori input_5_20'!G14*'Valori input_5_20'!$B$19</f>
        <v>1.1398124115958709E-2</v>
      </c>
      <c r="I13" s="1">
        <f>'Valori input_5_20'!H14*'Valori input_5_20'!$B$19</f>
        <v>0.45448739349426009</v>
      </c>
      <c r="J13" s="1">
        <f>'Valori input_5_20'!I14*'Valori input_5_20'!$B$19</f>
        <v>0.59664231307321691</v>
      </c>
      <c r="K13" s="1">
        <f>'Valori input_5_20'!J14*'Valori input_5_20'!$B$19</f>
        <v>0.16153776014953627</v>
      </c>
      <c r="L13" s="1">
        <f>'Valori input_5_20'!K14*'Valori input_5_20'!$B$19</f>
        <v>0.26360532682176874</v>
      </c>
      <c r="M13" s="1">
        <f>'Valori input_5_20'!L14*'Valori input_5_20'!$B$19</f>
        <v>4.7095948319490148E-2</v>
      </c>
      <c r="N13" s="1">
        <f>'Valori input_5_20'!M14*'Valori input_5_20'!$B$19</f>
        <v>0.11758753288807955</v>
      </c>
      <c r="O13" s="1">
        <f>'Valori input_5_20'!N14*'Valori input_5_20'!$B$19</f>
        <v>0.11290453685102841</v>
      </c>
      <c r="P13" s="1">
        <f>'Valori input_5_20'!O14*'Valori input_5_20'!$B$19</f>
        <v>8.5037487234413636E-2</v>
      </c>
      <c r="Q13" s="1">
        <f>'Valori input_5_20'!P14*'Valori input_5_20'!$B$19</f>
        <v>1.9986893840105165E-2</v>
      </c>
      <c r="R13" s="1">
        <f>'Valori input_5_20'!Q14*'Valori input_5_20'!$B$19</f>
        <v>0.13587902179758962</v>
      </c>
      <c r="S13" s="1">
        <f>'Valori input_5_20'!R14*'Valori input_5_20'!$B$19</f>
        <v>0.12611406210477763</v>
      </c>
      <c r="T13" s="1">
        <f>'Valori input_5_20'!S14*'Valori input_5_20'!$B$19</f>
        <v>5.6329301821279806E-2</v>
      </c>
      <c r="U13" s="1">
        <f>'Valori input_5_20'!T14*'Valori input_5_20'!$B$19</f>
        <v>4.0606296943083646E-2</v>
      </c>
      <c r="V13" s="1">
        <f>'Valori input_5_20'!U14*'Valori input_5_20'!$B$19</f>
        <v>6.2806028941105763E-2</v>
      </c>
      <c r="W13" s="1">
        <f>'Valori input_5_20'!V14*'Valori input_5_20'!$B$19</f>
        <v>0</v>
      </c>
      <c r="X13" s="1">
        <f>'Valori input_5_20'!W14*'Valori input_5_20'!$B$19</f>
        <v>0</v>
      </c>
      <c r="Y13" s="1">
        <f>'Valori input_5_20'!X14*'Valori input_5_20'!$B$19</f>
        <v>0</v>
      </c>
    </row>
    <row r="14" spans="2:25" x14ac:dyDescent="0.3">
      <c r="B14">
        <v>50</v>
      </c>
      <c r="C14" s="1">
        <f>'Valori input_5_20'!B15*'Valori input_5_20'!$B$19</f>
        <v>0.60541252787350575</v>
      </c>
      <c r="D14" s="17">
        <f>'Valori input_5_20'!C15*'Valori input_5_20'!$B$19</f>
        <v>0.7284920540088422</v>
      </c>
      <c r="E14" s="1">
        <f>'Valori input_5_20'!D15*'Valori input_5_20'!$B$19</f>
        <v>0.47104237101516838</v>
      </c>
      <c r="F14" s="1">
        <f>'Valori input_5_20'!E15*'Valori input_5_20'!$B$19</f>
        <v>0.46714547472883139</v>
      </c>
      <c r="G14" s="1">
        <f>'Valori input_5_20'!F15*'Valori input_5_20'!$B$19</f>
        <v>0.13835193448779859</v>
      </c>
      <c r="H14" s="1">
        <f>'Valori input_5_20'!G15*'Valori input_5_20'!$B$19</f>
        <v>1.5078482264244204E-2</v>
      </c>
      <c r="I14" s="1">
        <f>'Valori input_5_20'!H15*'Valori input_5_20'!$B$19</f>
        <v>0.51340484519472285</v>
      </c>
      <c r="J14" s="1">
        <f>'Valori input_5_20'!I15*'Valori input_5_20'!$B$19</f>
        <v>0.66867713353023495</v>
      </c>
      <c r="K14" s="1">
        <f>'Valori input_5_20'!J15*'Valori input_5_20'!$B$19</f>
        <v>0.20395951583122496</v>
      </c>
      <c r="L14" s="1">
        <f>'Valori input_5_20'!K15*'Valori input_5_20'!$B$19</f>
        <v>0.32883402292613489</v>
      </c>
      <c r="M14" s="1">
        <f>'Valori input_5_20'!L15*'Valori input_5_20'!$B$19</f>
        <v>5.2707570480188093E-2</v>
      </c>
      <c r="N14" s="1">
        <f>'Valori input_5_20'!M15*'Valori input_5_20'!$B$19</f>
        <v>0.14501113134992943</v>
      </c>
      <c r="O14" s="1">
        <f>'Valori input_5_20'!N15*'Valori input_5_20'!$B$19</f>
        <v>0.14006526005318373</v>
      </c>
      <c r="P14" s="1">
        <f>'Valori input_5_20'!O15*'Valori input_5_20'!$B$19</f>
        <v>0.10574887289212169</v>
      </c>
      <c r="Q14" s="1">
        <f>'Valori input_5_20'!P15*'Valori input_5_20'!$B$19</f>
        <v>2.2374087249578869E-2</v>
      </c>
      <c r="R14" s="1">
        <f>'Valori input_5_20'!Q15*'Valori input_5_20'!$B$19</f>
        <v>0.16957195735391864</v>
      </c>
      <c r="S14" s="1">
        <f>'Valori input_5_20'!R15*'Valori input_5_20'!$B$19</f>
        <v>0.15677959797050992</v>
      </c>
      <c r="T14" s="1">
        <f>'Valori input_5_20'!S15*'Valori input_5_20'!$B$19</f>
        <v>6.3518903359880557E-2</v>
      </c>
      <c r="U14" s="1">
        <f>'Valori input_5_20'!T15*'Valori input_5_20'!$B$19</f>
        <v>4.7252505043997424E-2</v>
      </c>
      <c r="V14" s="1">
        <f>'Valori input_5_20'!U15*'Valori input_5_20'!$B$19</f>
        <v>7.1983477856498224E-2</v>
      </c>
      <c r="W14" s="1">
        <f>'Valori input_5_20'!V15*'Valori input_5_20'!$B$19</f>
        <v>0</v>
      </c>
      <c r="X14" s="1">
        <f>'Valori input_5_20'!W15*'Valori input_5_20'!$B$19</f>
        <v>0</v>
      </c>
      <c r="Y14" s="1">
        <f>'Valori input_5_20'!X15*'Valori input_5_20'!$B$19</f>
        <v>0</v>
      </c>
    </row>
    <row r="15" spans="2:25" x14ac:dyDescent="0.3">
      <c r="C15" s="1"/>
      <c r="D15" s="1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7" spans="1:27" x14ac:dyDescent="0.3">
      <c r="A17" t="s">
        <v>18</v>
      </c>
      <c r="C17" s="1">
        <v>0.16244925146743142</v>
      </c>
      <c r="D17" s="17">
        <v>0.20656347785260193</v>
      </c>
      <c r="E17" s="1">
        <v>0.11236328218257688</v>
      </c>
      <c r="F17" s="1">
        <v>0.10974559948761167</v>
      </c>
      <c r="G17" s="1">
        <v>4.0554588502730436E-2</v>
      </c>
      <c r="H17" s="1">
        <v>2.4466387465091359E-3</v>
      </c>
      <c r="I17" s="1">
        <v>0.12261774453721858</v>
      </c>
      <c r="J17" s="1">
        <v>0.19230694711215371</v>
      </c>
      <c r="K17" s="1">
        <v>2.7593878557580921E-2</v>
      </c>
      <c r="L17" s="1">
        <v>4.6854980993621786E-2</v>
      </c>
      <c r="M17" s="1">
        <v>1.6302467594959541E-2</v>
      </c>
      <c r="N17" s="1">
        <v>3.1196416841057874E-2</v>
      </c>
      <c r="O17" s="1">
        <v>2.8911793260754954E-2</v>
      </c>
      <c r="P17" s="1">
        <v>2.1428656963967341E-2</v>
      </c>
      <c r="Q17" s="1">
        <v>9.0075914732300304E-3</v>
      </c>
      <c r="R17" s="1">
        <v>4.5051287070951337E-2</v>
      </c>
      <c r="S17" s="1">
        <v>3.0164481457760735E-2</v>
      </c>
      <c r="T17" s="1">
        <v>2.0083218468804922E-2</v>
      </c>
      <c r="U17" s="1">
        <v>1.165900359189781E-2</v>
      </c>
      <c r="V17" s="1">
        <v>1.8627447559909832E-2</v>
      </c>
      <c r="W17" s="8"/>
      <c r="X17" s="8"/>
      <c r="Y17" t="s">
        <v>16</v>
      </c>
      <c r="Z17">
        <v>12.282</v>
      </c>
      <c r="AA17" t="s">
        <v>17</v>
      </c>
    </row>
    <row r="18" spans="1:27" x14ac:dyDescent="0.3">
      <c r="A18" t="s">
        <v>15</v>
      </c>
      <c r="C18" s="1">
        <v>2.2035664684651918E-2</v>
      </c>
      <c r="D18" s="17">
        <v>2.8474749473498619E-2</v>
      </c>
      <c r="E18" s="1">
        <v>1.5224382805115289E-2</v>
      </c>
      <c r="F18" s="1">
        <v>1.7638196631229713E-2</v>
      </c>
      <c r="G18" s="1">
        <v>8.2137527134190057E-3</v>
      </c>
      <c r="H18" s="1">
        <v>5.5394665950165721E-4</v>
      </c>
      <c r="I18" s="1">
        <v>1.9029185344388393E-2</v>
      </c>
      <c r="J18" s="1">
        <v>2.4427627153036455E-2</v>
      </c>
      <c r="K18" s="1">
        <v>3.9947036995085757E-3</v>
      </c>
      <c r="L18" s="1">
        <v>6.678351628356065E-3</v>
      </c>
      <c r="M18" s="1">
        <v>3.475867495949954E-3</v>
      </c>
      <c r="N18" s="1">
        <v>8.7742773144116638E-3</v>
      </c>
      <c r="O18" s="1">
        <v>7.6813352957228629E-3</v>
      </c>
      <c r="P18" s="1">
        <v>4.7961547106020594E-3</v>
      </c>
      <c r="Q18" s="1">
        <v>4.2515286916521115E-3</v>
      </c>
      <c r="R18" s="1">
        <v>6.017364991982437E-3</v>
      </c>
      <c r="S18" s="1">
        <v>7.2279158945030312E-3</v>
      </c>
      <c r="T18" s="1">
        <v>5.2468082329970404E-3</v>
      </c>
      <c r="U18" s="1">
        <v>3.0794700157634547E-3</v>
      </c>
      <c r="V18" s="1">
        <v>3.9355898471879029E-3</v>
      </c>
      <c r="W18" s="8"/>
      <c r="X18" s="8"/>
      <c r="Y18" t="s">
        <v>19</v>
      </c>
      <c r="Z18" s="8">
        <v>42.47</v>
      </c>
      <c r="AA18" t="s">
        <v>17</v>
      </c>
    </row>
    <row r="19" spans="1:27" x14ac:dyDescent="0.3">
      <c r="A19" t="s">
        <v>44</v>
      </c>
      <c r="C19" s="1">
        <v>0.14041358678277949</v>
      </c>
      <c r="D19" s="17">
        <v>0.17808872837910331</v>
      </c>
      <c r="E19" s="1">
        <v>9.7138899377461591E-2</v>
      </c>
      <c r="F19" s="1">
        <v>9.2107402856381956E-2</v>
      </c>
      <c r="G19" s="1">
        <v>3.2340835789311434E-2</v>
      </c>
      <c r="H19" s="1">
        <v>1.8926920870074786E-3</v>
      </c>
      <c r="I19" s="1">
        <v>0.10358855919283018</v>
      </c>
      <c r="J19" s="1">
        <v>0.16787931995911726</v>
      </c>
      <c r="K19" s="1">
        <v>2.3599174858072346E-2</v>
      </c>
      <c r="L19" s="1">
        <v>4.0176629365265719E-2</v>
      </c>
      <c r="M19" s="1">
        <v>1.2826600099009587E-2</v>
      </c>
      <c r="N19" s="1">
        <v>2.242213952664621E-2</v>
      </c>
      <c r="O19" s="1">
        <v>2.123045796503209E-2</v>
      </c>
      <c r="P19" s="1">
        <v>1.6632502253365281E-2</v>
      </c>
      <c r="Q19" s="1">
        <v>4.7560627815779188E-3</v>
      </c>
      <c r="R19" s="1">
        <v>3.90339220789689E-2</v>
      </c>
      <c r="S19" s="1">
        <v>2.2936565563257703E-2</v>
      </c>
      <c r="T19" s="1">
        <v>1.4836410235807881E-2</v>
      </c>
      <c r="U19" s="1">
        <v>8.5795335761343558E-3</v>
      </c>
      <c r="V19" s="1">
        <v>1.4691857712721929E-2</v>
      </c>
      <c r="W19" s="8"/>
      <c r="X19" s="8"/>
      <c r="Y19" s="8"/>
    </row>
    <row r="20" spans="1:27" x14ac:dyDescent="0.3">
      <c r="A20" t="s">
        <v>21</v>
      </c>
      <c r="C20" s="1">
        <v>48.745216070726606</v>
      </c>
      <c r="D20" s="17">
        <v>48.754830092038439</v>
      </c>
      <c r="E20" s="1">
        <v>48.72870360339892</v>
      </c>
      <c r="F20" s="1">
        <v>48.742451950313082</v>
      </c>
      <c r="G20" s="1">
        <v>48.797029484271761</v>
      </c>
      <c r="H20" s="1">
        <v>48.740713759213477</v>
      </c>
      <c r="I20" s="1">
        <v>48.741234955730917</v>
      </c>
      <c r="J20" s="1">
        <v>48.749427144371367</v>
      </c>
      <c r="K20" s="1">
        <v>48.679286587431498</v>
      </c>
      <c r="L20" s="1">
        <v>48.682011850541784</v>
      </c>
      <c r="M20" s="1">
        <v>48.805959191615251</v>
      </c>
      <c r="N20" s="1">
        <v>48.783369757415656</v>
      </c>
      <c r="O20" s="1">
        <v>48.774742490232299</v>
      </c>
      <c r="P20" s="1">
        <v>48.758958111063031</v>
      </c>
      <c r="Q20" s="1">
        <v>48.891032532695291</v>
      </c>
      <c r="R20" s="1">
        <v>48.752524691248453</v>
      </c>
      <c r="S20" s="1">
        <v>48.759099383488362</v>
      </c>
      <c r="T20" s="1">
        <v>48.825697910352545</v>
      </c>
      <c r="U20" s="1">
        <v>48.790195266631869</v>
      </c>
      <c r="V20" s="1">
        <v>48.77995640047061</v>
      </c>
      <c r="W20" s="10"/>
      <c r="X20" s="10"/>
      <c r="Y20" s="8"/>
    </row>
    <row r="21" spans="1:27" x14ac:dyDescent="0.3">
      <c r="A21" t="s">
        <v>22</v>
      </c>
      <c r="C21" s="1">
        <v>379.93286855355581</v>
      </c>
      <c r="D21" s="17">
        <v>481.96978592452774</v>
      </c>
      <c r="E21" s="1">
        <v>262.75063203578787</v>
      </c>
      <c r="F21" s="1">
        <v>249.21124940301567</v>
      </c>
      <c r="G21" s="1">
        <v>87.601261035638146</v>
      </c>
      <c r="H21" s="1">
        <v>5.1207972937640793</v>
      </c>
      <c r="I21" s="1">
        <v>280.26834872846939</v>
      </c>
      <c r="J21" s="1">
        <v>454.28924104321936</v>
      </c>
      <c r="K21" s="1">
        <v>63.76858152334232</v>
      </c>
      <c r="L21" s="1">
        <v>108.56947803911689</v>
      </c>
      <c r="M21" s="1">
        <v>34.749626477903419</v>
      </c>
      <c r="N21" s="1">
        <v>60.717597739702846</v>
      </c>
      <c r="O21" s="1">
        <v>57.480439644415284</v>
      </c>
      <c r="P21" s="1">
        <v>45.017123544490651</v>
      </c>
      <c r="Q21" s="1">
        <v>12.907511528263518</v>
      </c>
      <c r="R21" s="1">
        <v>105.63431862066052</v>
      </c>
      <c r="S21" s="1">
        <v>62.079726883973308</v>
      </c>
      <c r="T21" s="1">
        <v>40.210828989598554</v>
      </c>
      <c r="U21" s="1">
        <v>23.23603211080875</v>
      </c>
      <c r="V21" s="1">
        <v>39.781747358783988</v>
      </c>
      <c r="W21" s="10"/>
      <c r="X21" s="10"/>
      <c r="Y21" s="8"/>
    </row>
    <row r="22" spans="1:27" x14ac:dyDescent="0.3">
      <c r="A22" t="s">
        <v>23</v>
      </c>
      <c r="C22" s="1">
        <v>0.98981938037451267</v>
      </c>
      <c r="D22" s="17">
        <v>1.1238205638355236</v>
      </c>
      <c r="E22" s="1">
        <v>0.91259198192800528</v>
      </c>
      <c r="F22" s="1">
        <v>1.0784288475891657</v>
      </c>
      <c r="G22" s="1">
        <v>0.24907245925197266</v>
      </c>
      <c r="H22" s="1">
        <v>0.26535428177768011</v>
      </c>
      <c r="I22" s="1">
        <v>1.1127322438263676</v>
      </c>
      <c r="J22" s="1">
        <v>0.98072380382791136</v>
      </c>
      <c r="K22" s="1">
        <v>1.7250715597254573</v>
      </c>
      <c r="L22" s="1">
        <v>2.1974432935027637</v>
      </c>
      <c r="M22" s="1">
        <v>9.6696852527527882E-2</v>
      </c>
      <c r="N22" s="1">
        <v>1.891067577076019</v>
      </c>
      <c r="O22" s="1">
        <v>1.6514347756523049</v>
      </c>
      <c r="P22" s="1">
        <v>0.61043694510512103</v>
      </c>
      <c r="Q22" s="1">
        <v>0.1268441286885883</v>
      </c>
      <c r="R22" s="1">
        <v>0.23957086942948069</v>
      </c>
      <c r="S22" s="1">
        <v>1.5902351067264999</v>
      </c>
      <c r="T22" s="1">
        <v>0.13885223333457433</v>
      </c>
      <c r="U22" s="1">
        <v>0.25520032077690846</v>
      </c>
      <c r="V22" s="1">
        <v>0.18541764249369094</v>
      </c>
    </row>
    <row r="23" spans="1:27" x14ac:dyDescent="0.3">
      <c r="A23" t="s">
        <v>24</v>
      </c>
      <c r="C23" s="1">
        <v>2910.2967968562398</v>
      </c>
      <c r="D23" s="17">
        <v>3115.4800847679016</v>
      </c>
      <c r="E23" s="1">
        <v>2421.9878672204009</v>
      </c>
      <c r="F23" s="1">
        <v>2022.9521538582981</v>
      </c>
      <c r="G23" s="1">
        <v>2662.1909822099792</v>
      </c>
      <c r="H23" s="1">
        <v>165.72288956735213</v>
      </c>
      <c r="I23" s="1">
        <v>2165.3021753086014</v>
      </c>
      <c r="J23" s="1">
        <v>3274.8215111460459</v>
      </c>
      <c r="K23" s="1">
        <v>515.84386455957429</v>
      </c>
      <c r="L23" s="1">
        <v>659.42810405766215</v>
      </c>
      <c r="M23" s="1">
        <v>2696.6577654792759</v>
      </c>
      <c r="N23" s="1">
        <v>206.10882309564269</v>
      </c>
      <c r="O23" s="1">
        <v>248.29102192093953</v>
      </c>
      <c r="P23" s="1">
        <v>666.33737543223867</v>
      </c>
      <c r="Q23" s="1">
        <v>460.61602049752952</v>
      </c>
      <c r="R23" s="1">
        <v>3173.2747102634121</v>
      </c>
      <c r="S23" s="1">
        <v>325.41822638321327</v>
      </c>
      <c r="T23" s="1">
        <v>2218.8678470907948</v>
      </c>
      <c r="U23" s="1">
        <v>720.00020077716943</v>
      </c>
      <c r="V23" s="1">
        <v>1791.3658267531475</v>
      </c>
      <c r="W23" s="1"/>
      <c r="X23" s="1"/>
      <c r="Y23" s="1"/>
    </row>
    <row r="24" spans="1:27" x14ac:dyDescent="0.3">
      <c r="A24" t="s">
        <v>25</v>
      </c>
      <c r="C24" s="1">
        <v>1.2510726124601037</v>
      </c>
      <c r="D24" s="17">
        <v>1.3017092090758298</v>
      </c>
      <c r="E24" s="1">
        <v>1.1259016565578162</v>
      </c>
      <c r="F24" s="1">
        <v>0.98770485036747424</v>
      </c>
      <c r="G24" s="1">
        <v>1.0605479121520793</v>
      </c>
      <c r="H24" s="1">
        <v>0.46265259597712444</v>
      </c>
      <c r="I24" s="1">
        <v>1.0289608999995454</v>
      </c>
      <c r="J24" s="1">
        <v>1.3749356101606054</v>
      </c>
      <c r="K24" s="1">
        <v>0.64433033070916823</v>
      </c>
      <c r="L24" s="1">
        <v>0.6883567865455914</v>
      </c>
      <c r="M24" s="1">
        <v>1.0501092269608858</v>
      </c>
      <c r="N24" s="1">
        <v>0.45251070631938234</v>
      </c>
      <c r="O24" s="1">
        <v>0.47625253926591254</v>
      </c>
      <c r="P24" s="1">
        <v>0.6207823271844144</v>
      </c>
      <c r="Q24" s="1">
        <v>0.41988062873155024</v>
      </c>
      <c r="R24" s="1">
        <v>1.3285006431383442</v>
      </c>
      <c r="S24" s="1">
        <v>0.51709910191597463</v>
      </c>
      <c r="T24" s="1">
        <v>0.88591182499719245</v>
      </c>
      <c r="U24" s="1">
        <v>0.60268055202625281</v>
      </c>
      <c r="V24" s="1">
        <v>0.86825642996542884</v>
      </c>
      <c r="W24" s="1"/>
      <c r="X24" s="1"/>
      <c r="Y24" s="1"/>
    </row>
    <row r="25" spans="1:27" x14ac:dyDescent="0.3">
      <c r="C25" s="1"/>
      <c r="D25" s="1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7" x14ac:dyDescent="0.3">
      <c r="C26" s="1"/>
      <c r="D26" s="1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7" x14ac:dyDescent="0.3">
      <c r="C27" s="1"/>
      <c r="D27" s="1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9" spans="1:27" x14ac:dyDescent="0.3">
      <c r="C29" s="1"/>
      <c r="D29" s="1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7" x14ac:dyDescent="0.3">
      <c r="C30" s="1"/>
      <c r="D30" s="1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7" x14ac:dyDescent="0.3">
      <c r="C31" s="1"/>
      <c r="D31" s="1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7" x14ac:dyDescent="0.3">
      <c r="C32" s="1"/>
      <c r="D32" s="1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C33" s="1"/>
      <c r="D33" s="1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7" spans="1:25" x14ac:dyDescent="0.3">
      <c r="A37" s="3"/>
      <c r="B37" s="1"/>
      <c r="C37" s="3"/>
      <c r="D37" s="1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">
      <c r="A38" s="3"/>
      <c r="B38" s="1"/>
    </row>
    <row r="39" spans="1:25" x14ac:dyDescent="0.3">
      <c r="A39" s="3"/>
      <c r="B39" s="1"/>
    </row>
    <row r="40" spans="1:25" x14ac:dyDescent="0.3">
      <c r="A40" s="3"/>
      <c r="B40" s="1"/>
    </row>
    <row r="41" spans="1:25" x14ac:dyDescent="0.3">
      <c r="A41" s="3"/>
      <c r="B41" s="1"/>
    </row>
    <row r="42" spans="1:25" x14ac:dyDescent="0.3">
      <c r="A42" s="3"/>
      <c r="B42" s="1"/>
    </row>
    <row r="43" spans="1:25" x14ac:dyDescent="0.3">
      <c r="A43" s="3"/>
      <c r="B43" s="1"/>
    </row>
    <row r="44" spans="1:25" x14ac:dyDescent="0.3">
      <c r="A44" s="3"/>
      <c r="B44" s="1"/>
    </row>
    <row r="45" spans="1:25" x14ac:dyDescent="0.3">
      <c r="A45" s="3"/>
      <c r="B45" s="1"/>
    </row>
    <row r="46" spans="1:25" x14ac:dyDescent="0.3">
      <c r="A46" s="3"/>
      <c r="B46" s="1"/>
    </row>
    <row r="47" spans="1:25" x14ac:dyDescent="0.3">
      <c r="A47" s="3"/>
      <c r="B4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6D62-78D2-4528-89DA-6D3E8E14C34B}">
  <dimension ref="A1:AA47"/>
  <sheetViews>
    <sheetView zoomScale="60" zoomScaleNormal="100" workbookViewId="0">
      <selection activeCell="E4" sqref="E4:E14"/>
    </sheetView>
  </sheetViews>
  <sheetFormatPr defaultRowHeight="14.4" x14ac:dyDescent="0.3"/>
  <cols>
    <col min="2" max="2" width="12.5546875" customWidth="1"/>
    <col min="3" max="5" width="11.5546875" customWidth="1"/>
    <col min="6" max="6" width="12.5546875" customWidth="1"/>
    <col min="7" max="11" width="11.5546875" customWidth="1"/>
    <col min="12" max="12" width="12.5546875" customWidth="1"/>
    <col min="13" max="13" width="11.5546875" customWidth="1"/>
    <col min="14" max="14" width="12.5546875" customWidth="1"/>
    <col min="15" max="15" width="11.5546875" customWidth="1"/>
    <col min="16" max="16" width="12.5546875" customWidth="1"/>
    <col min="17" max="17" width="13.5546875" customWidth="1"/>
    <col min="18" max="19" width="12.5546875" customWidth="1"/>
    <col min="20" max="20" width="11.5546875" customWidth="1"/>
    <col min="21" max="22" width="12.5546875" customWidth="1"/>
    <col min="23" max="25" width="8.6640625" customWidth="1"/>
  </cols>
  <sheetData>
    <row r="1" spans="2:25" x14ac:dyDescent="0.3">
      <c r="B1" t="s">
        <v>0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13</v>
      </c>
      <c r="X1" t="s">
        <v>13</v>
      </c>
      <c r="Y1" t="s">
        <v>13</v>
      </c>
    </row>
    <row r="2" spans="2:25" x14ac:dyDescent="0.3">
      <c r="C2" t="str">
        <f>'Valori input_6_20'!B$1</f>
        <v>S01</v>
      </c>
      <c r="D2" t="str">
        <f>'Valori input_6_20'!C$1</f>
        <v>S02</v>
      </c>
      <c r="E2" t="str">
        <f>'Valori input_6_20'!D$1</f>
        <v>S03</v>
      </c>
      <c r="F2" t="str">
        <f>'Valori input_6_20'!E$1</f>
        <v>S04</v>
      </c>
      <c r="G2" t="str">
        <f>'Valori input_6_20'!F$1</f>
        <v>S05</v>
      </c>
      <c r="H2" t="str">
        <f>'Valori input_6_20'!G$1</f>
        <v>S06</v>
      </c>
      <c r="I2" t="str">
        <f>'Valori input_6_20'!H$1</f>
        <v>S07</v>
      </c>
      <c r="J2" t="str">
        <f>'Valori input_6_20'!I$1</f>
        <v>S08</v>
      </c>
      <c r="K2" t="str">
        <f>'Valori input_6_20'!J$1</f>
        <v>S09</v>
      </c>
      <c r="L2" t="str">
        <f>'Valori input_6_20'!K$1</f>
        <v>S10</v>
      </c>
      <c r="M2" t="str">
        <f>'Valori input_6_20'!L$1</f>
        <v>S11</v>
      </c>
      <c r="N2" t="str">
        <f>'Valori input_6_20'!M$1</f>
        <v>S12</v>
      </c>
      <c r="O2" t="str">
        <f>'Valori input_6_20'!N$1</f>
        <v>S13</v>
      </c>
      <c r="P2" t="str">
        <f>'Valori input_6_20'!O$1</f>
        <v>S14</v>
      </c>
      <c r="Q2" t="str">
        <f>'Valori input_6_20'!P$1</f>
        <v>S15</v>
      </c>
      <c r="R2" t="str">
        <f>'Valori input_6_20'!Q$1</f>
        <v>S16</v>
      </c>
      <c r="S2" t="str">
        <f>'Valori input_6_20'!R$1</f>
        <v>S17</v>
      </c>
      <c r="T2" t="str">
        <f>'Valori input_6_20'!S$1</f>
        <v>S18</v>
      </c>
      <c r="U2" t="str">
        <f>'Valori input_6_20'!T$1</f>
        <v>S19</v>
      </c>
      <c r="V2" t="str">
        <f>'Valori input_6_20'!U$1</f>
        <v>S20</v>
      </c>
      <c r="W2" t="str">
        <f>'Valori input_6_20'!V$1</f>
        <v>S21</v>
      </c>
      <c r="X2" t="str">
        <f>'Valori input_6_20'!W$1</f>
        <v>S22</v>
      </c>
      <c r="Y2" t="str">
        <f>'Valori input_6_20'!X$1</f>
        <v>S23</v>
      </c>
    </row>
    <row r="3" spans="2:25" x14ac:dyDescent="0.3">
      <c r="B3" t="s">
        <v>0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</row>
    <row r="4" spans="2:25" x14ac:dyDescent="0.3">
      <c r="B4">
        <v>0</v>
      </c>
      <c r="C4" s="1">
        <f>'Valori input_6_20'!B5*'Valori input_6_20'!$B$19</f>
        <v>0</v>
      </c>
      <c r="D4" s="1">
        <f>'Valori input_6_20'!C5*'Valori input_6_20'!$B$19</f>
        <v>0</v>
      </c>
      <c r="E4" s="1">
        <f>'Valori input_6_20'!D5*'Valori input_6_20'!$B$19</f>
        <v>0</v>
      </c>
      <c r="F4" s="1">
        <f>'Valori input_6_20'!E5*'Valori input_6_20'!$B$19</f>
        <v>0</v>
      </c>
      <c r="G4" s="1">
        <f>'Valori input_6_20'!F5*'Valori input_6_20'!$B$19</f>
        <v>0</v>
      </c>
      <c r="H4" s="1">
        <f>'Valori input_6_20'!G5*'Valori input_6_20'!$B$19</f>
        <v>0</v>
      </c>
      <c r="I4" s="1">
        <f>'Valori input_6_20'!H5*'Valori input_6_20'!$B$19</f>
        <v>0</v>
      </c>
      <c r="J4" s="1">
        <f>'Valori input_6_20'!I5*'Valori input_6_20'!$B$19</f>
        <v>0</v>
      </c>
      <c r="K4" s="1">
        <f>'Valori input_6_20'!J5*'Valori input_6_20'!$B$19</f>
        <v>0</v>
      </c>
      <c r="L4" s="1">
        <f>'Valori input_6_20'!K5*'Valori input_6_20'!$B$19</f>
        <v>0</v>
      </c>
      <c r="M4" s="1">
        <f>'Valori input_6_20'!L5*'Valori input_6_20'!$B$19</f>
        <v>0</v>
      </c>
      <c r="N4" s="1">
        <f>'Valori input_6_20'!M5*'Valori input_6_20'!$B$19</f>
        <v>0</v>
      </c>
      <c r="O4" s="1">
        <f>'Valori input_6_20'!N5*'Valori input_6_20'!$B$19</f>
        <v>0</v>
      </c>
      <c r="P4" s="1">
        <f>'Valori input_6_20'!O5*'Valori input_6_20'!$B$19</f>
        <v>0</v>
      </c>
      <c r="Q4" s="1">
        <f>'Valori input_6_20'!P5*'Valori input_6_20'!$B$19</f>
        <v>0</v>
      </c>
      <c r="R4" s="1">
        <f>'Valori input_6_20'!Q5*'Valori input_6_20'!$B$19</f>
        <v>0</v>
      </c>
      <c r="S4" s="1">
        <f>'Valori input_6_20'!R5*'Valori input_6_20'!$B$19</f>
        <v>0</v>
      </c>
      <c r="T4" s="1">
        <f>'Valori input_6_20'!S5*'Valori input_6_20'!$B$19</f>
        <v>0</v>
      </c>
      <c r="U4" s="1">
        <f>'Valori input_6_20'!T5*'Valori input_6_20'!$B$19</f>
        <v>0</v>
      </c>
      <c r="V4" s="1">
        <f>'Valori input_6_20'!U5*'Valori input_6_20'!$B$19</f>
        <v>0</v>
      </c>
      <c r="W4" s="1">
        <f>'Valori input_6_20'!V5*'Valori input_6_20'!$B$19</f>
        <v>0</v>
      </c>
      <c r="X4" s="1">
        <f>'Valori input_6_20'!W5*'Valori input_6_20'!$B$19</f>
        <v>0</v>
      </c>
      <c r="Y4" s="1">
        <f>'Valori input_6_20'!X5*'Valori input_6_20'!$B$19</f>
        <v>0</v>
      </c>
    </row>
    <row r="5" spans="2:25" x14ac:dyDescent="0.3">
      <c r="B5">
        <v>5</v>
      </c>
      <c r="C5" s="1">
        <f>'Valori input_6_20'!B6*'Valori input_6_20'!$B$19</f>
        <v>4.8533889896328918E-2</v>
      </c>
      <c r="D5" s="1">
        <f>'Valori input_6_20'!C6*'Valori input_6_20'!$B$19</f>
        <v>8.488581730769466E-3</v>
      </c>
      <c r="E5" s="1">
        <f>'Valori input_6_20'!D6*'Valori input_6_20'!$B$19</f>
        <v>1.2081547254542076E-2</v>
      </c>
      <c r="F5" s="1">
        <f>'Valori input_6_20'!E6*'Valori input_6_20'!$B$19</f>
        <v>6.6535277887271654E-3</v>
      </c>
      <c r="G5" s="1">
        <f>'Valori input_6_20'!F6*'Valori input_6_20'!$B$19</f>
        <v>5.925969865939066E-2</v>
      </c>
      <c r="H5" s="1">
        <f>'Valori input_6_20'!G6*'Valori input_6_20'!$B$19</f>
        <v>5.1916932907348272E-2</v>
      </c>
      <c r="I5" s="1">
        <f>'Valori input_6_20'!H6*'Valori input_6_20'!$B$19</f>
        <v>7.6982175783655077E-3</v>
      </c>
      <c r="J5" s="1">
        <f>'Valori input_6_20'!I6*'Valori input_6_20'!$B$19</f>
        <v>1.1785558392085125E-2</v>
      </c>
      <c r="K5" s="1">
        <f>'Valori input_6_20'!J6*'Valori input_6_20'!$B$19</f>
        <v>2.8204762131379221E-2</v>
      </c>
      <c r="L5" s="1">
        <f>'Valori input_6_20'!K6*'Valori input_6_20'!$B$19</f>
        <v>1.3278262199786227E-2</v>
      </c>
      <c r="M5" s="1">
        <f>'Valori input_6_20'!L6*'Valori input_6_20'!$B$19</f>
        <v>8.7636372927261137E-3</v>
      </c>
      <c r="N5" s="1">
        <f>'Valori input_6_20'!M6*'Valori input_6_20'!$B$19</f>
        <v>5.1698789925199674E-3</v>
      </c>
      <c r="O5" s="1">
        <f>'Valori input_6_20'!N6*'Valori input_6_20'!$B$19</f>
        <v>1.0227709190672396E-2</v>
      </c>
      <c r="P5" s="1">
        <f>'Valori input_6_20'!O6*'Valori input_6_20'!$B$19</f>
        <v>7.8854568014107024E-3</v>
      </c>
      <c r="Q5" s="1">
        <f>'Valori input_6_20'!P6*'Valori input_6_20'!$B$19</f>
        <v>5.9415545046686445E-3</v>
      </c>
      <c r="R5" s="1">
        <f>'Valori input_6_20'!Q6*'Valori input_6_20'!$B$19</f>
        <v>9.1038513412261112E-3</v>
      </c>
      <c r="S5" s="1">
        <f>'Valori input_6_20'!R6*'Valori input_6_20'!$B$19</f>
        <v>5.5953863106228468E-3</v>
      </c>
      <c r="T5" s="1">
        <f>'Valori input_6_20'!S6*'Valori input_6_20'!$B$19</f>
        <v>9.6266729279175164E-3</v>
      </c>
      <c r="U5" s="1">
        <f>'Valori input_6_20'!T6*'Valori input_6_20'!$B$19</f>
        <v>6.0448729834977014E-3</v>
      </c>
      <c r="V5" s="1">
        <f>'Valori input_6_20'!U6*'Valori input_6_20'!$B$19</f>
        <v>4.20714572460874E-3</v>
      </c>
      <c r="W5" s="1">
        <f>'Valori input_6_20'!V6*'Valori input_6_20'!$B$19</f>
        <v>0</v>
      </c>
      <c r="X5" s="1">
        <f>'Valori input_6_20'!W6*'Valori input_6_20'!$B$19</f>
        <v>0</v>
      </c>
      <c r="Y5" s="1">
        <f>'Valori input_6_20'!X6*'Valori input_6_20'!$B$19</f>
        <v>0</v>
      </c>
    </row>
    <row r="6" spans="2:25" x14ac:dyDescent="0.3">
      <c r="B6">
        <v>10</v>
      </c>
      <c r="C6" s="1">
        <f>'Valori input_6_20'!B7*'Valori input_6_20'!$B$19</f>
        <v>7.7531050056454873E-2</v>
      </c>
      <c r="D6" s="1">
        <f>'Valori input_6_20'!C7*'Valori input_6_20'!$B$19</f>
        <v>1.6388721955128489E-2</v>
      </c>
      <c r="E6" s="1">
        <f>'Valori input_6_20'!D7*'Valori input_6_20'!$B$19</f>
        <v>2.9011022657685438E-2</v>
      </c>
      <c r="F6" s="1">
        <f>'Valori input_6_20'!E7*'Valori input_6_20'!$B$19</f>
        <v>2.2782814347654973E-2</v>
      </c>
      <c r="G6" s="1">
        <f>'Valori input_6_20'!F7*'Valori input_6_20'!$B$19</f>
        <v>8.8108514256337464E-2</v>
      </c>
      <c r="H6" s="1">
        <f>'Valori input_6_20'!G7*'Valori input_6_20'!$B$19</f>
        <v>8.5479898828541054E-2</v>
      </c>
      <c r="I6" s="1">
        <f>'Valori input_6_20'!H7*'Valori input_6_20'!$B$19</f>
        <v>1.3652427781192567E-2</v>
      </c>
      <c r="J6" s="1">
        <f>'Valori input_6_20'!I7*'Valori input_6_20'!$B$19</f>
        <v>2.6772132643748253E-2</v>
      </c>
      <c r="K6" s="1">
        <f>'Valori input_6_20'!J7*'Valori input_6_20'!$B$19</f>
        <v>6.0533955170609006E-2</v>
      </c>
      <c r="L6" s="1">
        <f>'Valori input_6_20'!K7*'Valori input_6_20'!$B$19</f>
        <v>2.6158788435062152E-2</v>
      </c>
      <c r="M6" s="1">
        <f>'Valori input_6_20'!L7*'Valori input_6_20'!$B$19</f>
        <v>1.5802652086154542E-2</v>
      </c>
      <c r="N6" s="1">
        <f>'Valori input_6_20'!M7*'Valori input_6_20'!$B$19</f>
        <v>1.7755303164935371E-2</v>
      </c>
      <c r="O6" s="1">
        <f>'Valori input_6_20'!N7*'Valori input_6_20'!$B$19</f>
        <v>1.9149519890260841E-2</v>
      </c>
      <c r="P6" s="1">
        <f>'Valori input_6_20'!O7*'Valori input_6_20'!$B$19</f>
        <v>1.2440410109057916E-2</v>
      </c>
      <c r="Q6" s="1">
        <f>'Valori input_6_20'!P7*'Valori input_6_20'!$B$19</f>
        <v>8.9036705988329301E-3</v>
      </c>
      <c r="R6" s="1">
        <f>'Valori input_6_20'!Q7*'Valori input_6_20'!$B$19</f>
        <v>1.6278285628653053E-2</v>
      </c>
      <c r="S6" s="1">
        <f>'Valori input_6_20'!R7*'Valori input_6_20'!$B$19</f>
        <v>1.0246282860373095E-2</v>
      </c>
      <c r="T6" s="1">
        <f>'Valori input_6_20'!S7*'Valori input_6_20'!$B$19</f>
        <v>1.6474915864444117E-2</v>
      </c>
      <c r="U6" s="1">
        <f>'Valori input_6_20'!T7*'Valori input_6_20'!$B$19</f>
        <v>1.3665863155943161E-2</v>
      </c>
      <c r="V6" s="1">
        <f>'Valori input_6_20'!U7*'Valori input_6_20'!$B$19</f>
        <v>1.5014050582095893E-2</v>
      </c>
      <c r="W6" s="1">
        <f>'Valori input_6_20'!V7*'Valori input_6_20'!$B$19</f>
        <v>0</v>
      </c>
      <c r="X6" s="1">
        <f>'Valori input_6_20'!W7*'Valori input_6_20'!$B$19</f>
        <v>0</v>
      </c>
      <c r="Y6" s="1">
        <f>'Valori input_6_20'!X7*'Valori input_6_20'!$B$19</f>
        <v>0</v>
      </c>
    </row>
    <row r="7" spans="2:25" x14ac:dyDescent="0.3">
      <c r="B7">
        <v>15</v>
      </c>
      <c r="C7" s="1">
        <f>'Valori input_6_20'!B8*'Valori input_6_20'!$B$19</f>
        <v>0.21965990351387446</v>
      </c>
      <c r="D7" s="1">
        <f>'Valori input_6_20'!C8*'Valori input_6_20'!$B$19</f>
        <v>3.2702323717949122E-2</v>
      </c>
      <c r="E7" s="1">
        <f>'Valori input_6_20'!D8*'Valori input_6_20'!$B$19</f>
        <v>6.7080016329863545E-2</v>
      </c>
      <c r="F7" s="1">
        <f>'Valori input_6_20'!E8*'Valori input_6_20'!$B$19</f>
        <v>3.5270003941663526E-2</v>
      </c>
      <c r="G7" s="1">
        <f>'Valori input_6_20'!F8*'Valori input_6_20'!$B$19</f>
        <v>0.26468145687507422</v>
      </c>
      <c r="H7" s="1">
        <f>'Valori input_6_20'!G8*'Valori input_6_20'!$B$19</f>
        <v>0.2477369542066028</v>
      </c>
      <c r="I7" s="1">
        <f>'Valori input_6_20'!H8*'Valori input_6_20'!$B$19</f>
        <v>2.728180700676134E-2</v>
      </c>
      <c r="J7" s="1">
        <f>'Valori input_6_20'!I8*'Valori input_6_20'!$B$19</f>
        <v>6.2737265380087781E-2</v>
      </c>
      <c r="K7" s="1">
        <f>'Valori input_6_20'!J8*'Valori input_6_20'!$B$19</f>
        <v>0.14694078269008112</v>
      </c>
      <c r="L7" s="1">
        <f>'Valori input_6_20'!K8*'Valori input_6_20'!$B$19</f>
        <v>4.3261434908979803E-2</v>
      </c>
      <c r="M7" s="1">
        <f>'Valori input_6_20'!L8*'Valori input_6_20'!$B$19</f>
        <v>2.6290911878177906E-2</v>
      </c>
      <c r="N7" s="1">
        <f>'Valori input_6_20'!M8*'Valori input_6_20'!$B$19</f>
        <v>6.7515388467939016E-2</v>
      </c>
      <c r="O7" s="1">
        <f>'Valori input_6_20'!N8*'Valori input_6_20'!$B$19</f>
        <v>3.5149519890260883E-2</v>
      </c>
      <c r="P7" s="1">
        <f>'Valori input_6_20'!O8*'Valori input_6_20'!$B$19</f>
        <v>1.7762685300072151E-2</v>
      </c>
      <c r="Q7" s="1">
        <f>'Valori input_6_20'!P8*'Valori input_6_20'!$B$19</f>
        <v>1.212562143809911E-2</v>
      </c>
      <c r="R7" s="1">
        <f>'Valori input_6_20'!Q8*'Valori input_6_20'!$B$19</f>
        <v>2.5794245466806757E-2</v>
      </c>
      <c r="S7" s="1">
        <f>'Valori input_6_20'!R8*'Valori input_6_20'!$B$19</f>
        <v>1.489717941012334E-2</v>
      </c>
      <c r="T7" s="1">
        <f>'Valori input_6_20'!S8*'Valori input_6_20'!$B$19</f>
        <v>3.1290600297409689E-2</v>
      </c>
      <c r="U7" s="1">
        <f>'Valori input_6_20'!T8*'Valori input_6_20'!$B$19</f>
        <v>2.2677544965696707E-2</v>
      </c>
      <c r="V7" s="1">
        <f>'Valori input_6_20'!U8*'Valori input_6_20'!$B$19</f>
        <v>7.3962264150943785E-2</v>
      </c>
      <c r="W7" s="1">
        <f>'Valori input_6_20'!V8*'Valori input_6_20'!$B$19</f>
        <v>0</v>
      </c>
      <c r="X7" s="1">
        <f>'Valori input_6_20'!W8*'Valori input_6_20'!$B$19</f>
        <v>0</v>
      </c>
      <c r="Y7" s="1">
        <f>'Valori input_6_20'!X8*'Valori input_6_20'!$B$19</f>
        <v>0</v>
      </c>
    </row>
    <row r="8" spans="2:25" x14ac:dyDescent="0.3">
      <c r="B8">
        <v>20</v>
      </c>
      <c r="C8" s="1">
        <f>'Valori input_6_20'!B9*'Valori input_6_20'!$B$19</f>
        <v>0.26531973859787233</v>
      </c>
      <c r="D8" s="1">
        <f>'Valori input_6_20'!C9*'Valori input_6_20'!$B$19</f>
        <v>4.7263120993589904E-2</v>
      </c>
      <c r="E8" s="1">
        <f>'Valori input_6_20'!D9*'Valori input_6_20'!$B$19</f>
        <v>0.10026280873647697</v>
      </c>
      <c r="F8" s="1">
        <f>'Valori input_6_20'!E9*'Valori input_6_20'!$B$19</f>
        <v>4.4130863224281079E-2</v>
      </c>
      <c r="G8" s="1">
        <f>'Valori input_6_20'!F9*'Valori input_6_20'!$B$19</f>
        <v>0.31488511883576559</v>
      </c>
      <c r="H8" s="1">
        <f>'Valori input_6_20'!G9*'Valori input_6_20'!$B$19</f>
        <v>0.2997370873269436</v>
      </c>
      <c r="I8" s="1">
        <f>'Valori input_6_20'!H9*'Valori input_6_20'!$B$19</f>
        <v>3.6754763368162656E-2</v>
      </c>
      <c r="J8" s="1">
        <f>'Valori input_6_20'!I9*'Valori input_6_20'!$B$19</f>
        <v>9.4019920371424107E-2</v>
      </c>
      <c r="K8" s="1">
        <f>'Valori input_6_20'!J9*'Valori input_6_20'!$B$19</f>
        <v>0.18544075889528747</v>
      </c>
      <c r="L8" s="1">
        <f>'Valori input_6_20'!K9*'Valori input_6_20'!$B$19</f>
        <v>5.3923818265259653E-2</v>
      </c>
      <c r="M8" s="1">
        <f>'Valori input_6_20'!L9*'Valori input_6_20'!$B$19</f>
        <v>3.52206239300955E-2</v>
      </c>
      <c r="N8" s="1">
        <f>'Valori input_6_20'!M9*'Valori input_6_20'!$B$19</f>
        <v>8.5319159248429227E-2</v>
      </c>
      <c r="O8" s="1">
        <f>'Valori input_6_20'!N9*'Valori input_6_20'!$B$19</f>
        <v>5.0096021947874013E-2</v>
      </c>
      <c r="P8" s="1">
        <f>'Valori input_6_20'!O9*'Valori input_6_20'!$B$19</f>
        <v>2.1174818781427743E-2</v>
      </c>
      <c r="Q8" s="1">
        <f>'Valori input_6_20'!P9*'Valori input_6_20'!$B$19</f>
        <v>1.4221621715256056E-2</v>
      </c>
      <c r="R8" s="1">
        <f>'Valori input_6_20'!Q9*'Valori input_6_20'!$B$19</f>
        <v>3.225685598681266E-2</v>
      </c>
      <c r="S8" s="1">
        <f>'Valori input_6_20'!R9*'Valori input_6_20'!$B$19</f>
        <v>1.7816511398274348E-2</v>
      </c>
      <c r="T8" s="1">
        <f>'Valori input_6_20'!S9*'Valori input_6_20'!$B$19</f>
        <v>4.0158096579792142E-2</v>
      </c>
      <c r="U8" s="1">
        <f>'Valori input_6_20'!T9*'Valori input_6_20'!$B$19</f>
        <v>2.8036343408122184E-2</v>
      </c>
      <c r="V8" s="1">
        <f>'Valori input_6_20'!U9*'Valori input_6_20'!$B$19</f>
        <v>9.3520674427940736E-2</v>
      </c>
      <c r="W8" s="1">
        <f>'Valori input_6_20'!V9*'Valori input_6_20'!$B$19</f>
        <v>0</v>
      </c>
      <c r="X8" s="1">
        <f>'Valori input_6_20'!W9*'Valori input_6_20'!$B$19</f>
        <v>0</v>
      </c>
      <c r="Y8" s="1">
        <f>'Valori input_6_20'!X9*'Valori input_6_20'!$B$19</f>
        <v>0</v>
      </c>
    </row>
    <row r="9" spans="2:25" x14ac:dyDescent="0.3">
      <c r="B9">
        <v>25</v>
      </c>
      <c r="C9" s="1">
        <f>'Valori input_6_20'!B10*'Valori input_6_20'!$B$19</f>
        <v>0.31400759571629011</v>
      </c>
      <c r="D9" s="1">
        <f>'Valori input_6_20'!C10*'Valori input_6_20'!$B$19</f>
        <v>6.7282652243590119E-2</v>
      </c>
      <c r="E9" s="1">
        <f>'Valori input_6_20'!D10*'Valori input_6_20'!$B$19</f>
        <v>0.13229740763421116</v>
      </c>
      <c r="F9" s="1">
        <f>'Valori input_6_20'!E10*'Valori input_6_20'!$B$19</f>
        <v>5.3496255419787316E-2</v>
      </c>
      <c r="G9" s="1">
        <f>'Valori input_6_20'!F10*'Valori input_6_20'!$B$19</f>
        <v>0.36485150472574879</v>
      </c>
      <c r="H9" s="1">
        <f>'Valori input_6_20'!G10*'Valori input_6_20'!$B$19</f>
        <v>0.35226970181043649</v>
      </c>
      <c r="I9" s="1">
        <f>'Valori input_6_20'!H10*'Valori input_6_20'!$B$19</f>
        <v>5.2281807006761348E-2</v>
      </c>
      <c r="J9" s="1">
        <f>'Valori input_6_20'!I10*'Valori input_6_20'!$B$19</f>
        <v>0.12858295525191507</v>
      </c>
      <c r="K9" s="1">
        <f>'Valori input_6_20'!J10*'Valori input_6_20'!$B$19</f>
        <v>0.22224337314995501</v>
      </c>
      <c r="L9" s="1">
        <f>'Valori input_6_20'!K10*'Valori input_6_20'!$B$19</f>
        <v>6.4035490286064312E-2</v>
      </c>
      <c r="M9" s="1">
        <f>'Valori input_6_20'!L10*'Valori input_6_20'!$B$19</f>
        <v>5.0320652035054668E-2</v>
      </c>
      <c r="N9" s="1">
        <f>'Valori input_6_20'!M10*'Valori input_6_20'!$B$19</f>
        <v>0.11170169798213192</v>
      </c>
      <c r="O9" s="1">
        <f>'Valori input_6_20'!N10*'Valori input_6_20'!$B$19</f>
        <v>7.0233196159122158E-2</v>
      </c>
      <c r="P9" s="1">
        <f>'Valori input_6_20'!O10*'Valori input_6_20'!$B$19</f>
        <v>2.4750212237968156E-2</v>
      </c>
      <c r="Q9" s="1">
        <f>'Valori input_6_20'!P10*'Valori input_6_20'!$B$19</f>
        <v>1.6577456737515282E-2</v>
      </c>
      <c r="R9" s="1">
        <f>'Valori input_6_20'!Q10*'Valori input_6_20'!$B$19</f>
        <v>3.9356361456616272E-2</v>
      </c>
      <c r="S9" s="1">
        <f>'Valori input_6_20'!R10*'Valori input_6_20'!$B$19</f>
        <v>2.0735843386425354E-2</v>
      </c>
      <c r="T9" s="1">
        <f>'Valori input_6_20'!S10*'Valori input_6_20'!$B$19</f>
        <v>5.279799639978127E-2</v>
      </c>
      <c r="U9" s="1">
        <f>'Valori input_6_20'!T10*'Valori input_6_20'!$B$19</f>
        <v>3.3283886519562732E-2</v>
      </c>
      <c r="V9" s="1">
        <f>'Valori input_6_20'!U10*'Valori input_6_20'!$B$19</f>
        <v>0.13289441991168238</v>
      </c>
      <c r="W9" s="1">
        <f>'Valori input_6_20'!V10*'Valori input_6_20'!$B$19</f>
        <v>0</v>
      </c>
      <c r="X9" s="1">
        <f>'Valori input_6_20'!W10*'Valori input_6_20'!$B$19</f>
        <v>0</v>
      </c>
      <c r="Y9" s="1">
        <f>'Valori input_6_20'!X10*'Valori input_6_20'!$B$19</f>
        <v>0</v>
      </c>
    </row>
    <row r="10" spans="2:25" x14ac:dyDescent="0.3">
      <c r="B10">
        <v>30</v>
      </c>
      <c r="C10" s="1">
        <f>'Valori input_6_20'!B11*'Valori input_6_20'!$B$19</f>
        <v>0.36533000307934488</v>
      </c>
      <c r="D10" s="1">
        <f>'Valori input_6_20'!C11*'Valori input_6_20'!$B$19</f>
        <v>9.0494791666667032E-2</v>
      </c>
      <c r="E10" s="1">
        <f>'Valori input_6_20'!D11*'Valori input_6_20'!$B$19</f>
        <v>0.15813176158399697</v>
      </c>
      <c r="F10" s="1">
        <f>'Valori input_6_20'!E11*'Valori input_6_20'!$B$19</f>
        <v>6.3366180528183311E-2</v>
      </c>
      <c r="G10" s="1">
        <f>'Valori input_6_20'!F11*'Valori input_6_20'!$B$19</f>
        <v>0.41790247953493909</v>
      </c>
      <c r="H10" s="1">
        <f>'Valori input_6_20'!G11*'Valori input_6_20'!$B$19</f>
        <v>0.40733160276890301</v>
      </c>
      <c r="I10" s="1">
        <f>'Valori input_6_20'!H11*'Valori input_6_20'!$B$19</f>
        <v>7.4062692071297051E-2</v>
      </c>
      <c r="J10" s="1">
        <f>'Valori input_6_20'!I11*'Valori input_6_20'!$B$19</f>
        <v>0.16755069377389206</v>
      </c>
      <c r="K10" s="1">
        <f>'Valori input_6_20'!J11*'Valori input_6_20'!$B$19</f>
        <v>0.25622233855232496</v>
      </c>
      <c r="L10" s="1">
        <f>'Valori input_6_20'!K11*'Valori input_6_20'!$B$19</f>
        <v>7.6181734740706872E-2</v>
      </c>
      <c r="M10" s="1">
        <f>'Valori input_6_20'!L11*'Valori input_6_20'!$B$19</f>
        <v>7.0032448452949939E-2</v>
      </c>
      <c r="N10" s="1">
        <f>'Valori input_6_20'!M11*'Valori input_6_20'!$B$19</f>
        <v>0.13018401538039012</v>
      </c>
      <c r="O10" s="1">
        <f>'Valori input_6_20'!N11*'Valori input_6_20'!$B$19</f>
        <v>9.4946502057613333E-2</v>
      </c>
      <c r="P10" s="1">
        <f>'Valori input_6_20'!O11*'Valori input_6_20'!$B$19</f>
        <v>2.8456213674655929E-2</v>
      </c>
      <c r="Q10" s="1">
        <f>'Valori input_6_20'!P11*'Valori input_6_20'!$B$19</f>
        <v>1.8725423963692991E-2</v>
      </c>
      <c r="R10" s="1">
        <f>'Valori input_6_20'!Q11*'Valori input_6_20'!$B$19</f>
        <v>4.6755582196913219E-2</v>
      </c>
      <c r="S10" s="1">
        <f>'Valori input_6_20'!R11*'Valori input_6_20'!$B$19</f>
        <v>2.3869832138410808E-2</v>
      </c>
      <c r="T10" s="1">
        <f>'Valori input_6_20'!S11*'Valori input_6_20'!$B$19</f>
        <v>6.9656413868670594E-2</v>
      </c>
      <c r="U10" s="1">
        <f>'Valori input_6_20'!T11*'Valori input_6_20'!$B$19</f>
        <v>3.8494344520675246E-2</v>
      </c>
      <c r="V10" s="1">
        <f>'Valori input_6_20'!U11*'Valori input_6_20'!$B$19</f>
        <v>0.15656362906463295</v>
      </c>
      <c r="W10" s="1">
        <f>'Valori input_6_20'!V11*'Valori input_6_20'!$B$19</f>
        <v>0</v>
      </c>
      <c r="X10" s="1">
        <f>'Valori input_6_20'!W11*'Valori input_6_20'!$B$19</f>
        <v>0</v>
      </c>
      <c r="Y10" s="1">
        <f>'Valori input_6_20'!X11*'Valori input_6_20'!$B$19</f>
        <v>0</v>
      </c>
    </row>
    <row r="11" spans="2:25" x14ac:dyDescent="0.3">
      <c r="B11">
        <v>35</v>
      </c>
      <c r="C11" s="1">
        <f>'Valori input_6_20'!B12*'Valori input_6_20'!$B$19</f>
        <v>0.4275498682724882</v>
      </c>
      <c r="D11" s="1">
        <f>'Valori input_6_20'!C12*'Valori input_6_20'!$B$19</f>
        <v>0.11801382211538484</v>
      </c>
      <c r="E11" s="1">
        <f>'Valori input_6_20'!D12*'Valori input_6_20'!$B$19</f>
        <v>0.22470146968769145</v>
      </c>
      <c r="F11" s="1">
        <f>'Valori input_6_20'!E12*'Valori input_6_20'!$B$19</f>
        <v>7.3504138746551359E-2</v>
      </c>
      <c r="G11" s="1">
        <f>'Valori input_6_20'!F12*'Valori input_6_20'!$B$19</f>
        <v>0.48481433147467118</v>
      </c>
      <c r="H11" s="1">
        <f>'Valori input_6_20'!G12*'Valori input_6_20'!$B$19</f>
        <v>0.47252728966986146</v>
      </c>
      <c r="I11" s="1">
        <f>'Valori input_6_20'!H12*'Valori input_6_20'!$B$19</f>
        <v>0.10464812538414286</v>
      </c>
      <c r="J11" s="1">
        <f>'Valori input_6_20'!I12*'Valori input_6_20'!$B$19</f>
        <v>0.21757648708350463</v>
      </c>
      <c r="K11" s="1">
        <f>'Valori input_6_20'!J12*'Valori input_6_20'!$B$19</f>
        <v>0.30877710623582266</v>
      </c>
      <c r="L11" s="1">
        <f>'Valori input_6_20'!K12*'Valori input_6_20'!$B$19</f>
        <v>9.4569374330733091E-2</v>
      </c>
      <c r="M11" s="1">
        <f>'Valori input_6_20'!L12*'Valori input_6_20'!$B$19</f>
        <v>9.4598737831830149E-2</v>
      </c>
      <c r="N11" s="1">
        <f>'Valori input_6_20'!M12*'Valori input_6_20'!$B$19</f>
        <v>0.14840783882902248</v>
      </c>
      <c r="O11" s="1">
        <f>'Valori input_6_20'!N12*'Valori input_6_20'!$B$19</f>
        <v>0.12330315500685909</v>
      </c>
      <c r="P11" s="1">
        <f>'Valori input_6_20'!O12*'Valori input_6_20'!$B$19</f>
        <v>3.3272382942597857E-2</v>
      </c>
      <c r="Q11" s="1">
        <f>'Valori input_6_20'!P12*'Valori input_6_20'!$B$19</f>
        <v>2.096000277157082E-2</v>
      </c>
      <c r="R11" s="1">
        <f>'Valori input_6_20'!Q12*'Valori input_6_20'!$B$19</f>
        <v>5.5428592836805159E-2</v>
      </c>
      <c r="S11" s="1">
        <f>'Valori input_6_20'!R12*'Valori input_6_20'!$B$19</f>
        <v>2.7633480730978148E-2</v>
      </c>
      <c r="T11" s="1">
        <f>'Valori input_6_20'!S12*'Valori input_6_20'!$B$19</f>
        <v>9.2956092979573066E-2</v>
      </c>
      <c r="U11" s="1">
        <f>'Valori input_6_20'!T12*'Valori input_6_20'!$B$19</f>
        <v>4.4038568514741722E-2</v>
      </c>
      <c r="V11" s="1">
        <f>'Valori input_6_20'!U12*'Valori input_6_20'!$B$19</f>
        <v>0.17798474508229639</v>
      </c>
      <c r="W11" s="1">
        <f>'Valori input_6_20'!V12*'Valori input_6_20'!$B$19</f>
        <v>0</v>
      </c>
      <c r="X11" s="1">
        <f>'Valori input_6_20'!W12*'Valori input_6_20'!$B$19</f>
        <v>0</v>
      </c>
      <c r="Y11" s="1">
        <f>'Valori input_6_20'!X12*'Valori input_6_20'!$B$19</f>
        <v>0</v>
      </c>
    </row>
    <row r="12" spans="2:25" x14ac:dyDescent="0.3">
      <c r="B12">
        <v>40</v>
      </c>
      <c r="C12" s="1">
        <f>'Valori input_6_20'!B13*'Valori input_6_20'!$B$19</f>
        <v>0.58353577171793258</v>
      </c>
      <c r="D12" s="1">
        <f>'Valori input_6_20'!C13*'Valori input_6_20'!$B$19</f>
        <v>0.15198066907051319</v>
      </c>
      <c r="E12" s="1">
        <f>'Valori input_6_20'!D13*'Valori input_6_20'!$B$19</f>
        <v>0.29016125739946946</v>
      </c>
      <c r="F12" s="1">
        <f>'Valori input_6_20'!E13*'Valori input_6_20'!$B$19</f>
        <v>8.4398896334253334E-2</v>
      </c>
      <c r="G12" s="1">
        <f>'Valori input_6_20'!F13*'Valori input_6_20'!$B$19</f>
        <v>0.63376438486178688</v>
      </c>
      <c r="H12" s="1">
        <f>'Valori input_6_20'!G13*'Valori input_6_20'!$B$19</f>
        <v>0.62588192225772088</v>
      </c>
      <c r="I12" s="1">
        <f>'Valori input_6_20'!H13*'Valori input_6_20'!$B$19</f>
        <v>0.1406807006760912</v>
      </c>
      <c r="J12" s="1">
        <f>'Valori input_6_20'!I13*'Valori input_6_20'!$B$19</f>
        <v>0.27999629634528667</v>
      </c>
      <c r="K12" s="1">
        <f>'Valori input_6_20'!J13*'Valori input_6_20'!$B$19</f>
        <v>0.43750694014816272</v>
      </c>
      <c r="L12" s="1">
        <f>'Valori input_6_20'!K13*'Valori input_6_20'!$B$19</f>
        <v>0.11381367599816468</v>
      </c>
      <c r="M12" s="1">
        <f>'Valori input_6_20'!L13*'Valori input_6_20'!$B$19</f>
        <v>0.12192442320958639</v>
      </c>
      <c r="N12" s="1">
        <f>'Valori input_6_20'!M13*'Valori input_6_20'!$B$19</f>
        <v>0.16800491138504328</v>
      </c>
      <c r="O12" s="1">
        <f>'Valori input_6_20'!N13*'Valori input_6_20'!$B$19</f>
        <v>0.15566529492455458</v>
      </c>
      <c r="P12" s="1">
        <f>'Valori input_6_20'!O13*'Valori input_6_20'!$B$19</f>
        <v>4.1108861751453299E-2</v>
      </c>
      <c r="Q12" s="1">
        <f>'Valori input_6_20'!P13*'Valori input_6_20'!$B$19</f>
        <v>2.3592994855272578E-2</v>
      </c>
      <c r="R12" s="1">
        <f>'Valori input_6_20'!Q13*'Valori input_6_20'!$B$19</f>
        <v>6.5581447624756567E-2</v>
      </c>
      <c r="S12" s="1">
        <f>'Valori input_6_20'!R13*'Valori input_6_20'!$B$19</f>
        <v>3.2355929535339771E-2</v>
      </c>
      <c r="T12" s="1">
        <f>'Valori input_6_20'!S13*'Valori input_6_20'!$B$19</f>
        <v>0.12173436643969651</v>
      </c>
      <c r="U12" s="1">
        <f>'Valori input_6_20'!T13*'Valori input_6_20'!$B$19</f>
        <v>5.0046356387910475E-2</v>
      </c>
      <c r="V12" s="1">
        <f>'Valori input_6_20'!U13*'Valori input_6_20'!$B$19</f>
        <v>0.20061019670814972</v>
      </c>
      <c r="W12" s="1">
        <f>'Valori input_6_20'!V13*'Valori input_6_20'!$B$19</f>
        <v>0</v>
      </c>
      <c r="X12" s="1">
        <f>'Valori input_6_20'!W13*'Valori input_6_20'!$B$19</f>
        <v>0</v>
      </c>
      <c r="Y12" s="1">
        <f>'Valori input_6_20'!X13*'Valori input_6_20'!$B$19</f>
        <v>0</v>
      </c>
    </row>
    <row r="13" spans="2:25" x14ac:dyDescent="0.3">
      <c r="B13">
        <v>45</v>
      </c>
      <c r="C13" s="1">
        <f>'Valori input_6_20'!B14*'Valori input_6_20'!$B$19</f>
        <v>0.73507373319191194</v>
      </c>
      <c r="D13" s="1">
        <f>'Valori input_6_20'!C14*'Valori input_6_20'!$B$19</f>
        <v>0.19225761217948759</v>
      </c>
      <c r="E13" s="1">
        <f>'Valori input_6_20'!D14*'Valori input_6_20'!$B$19</f>
        <v>0.3540773627270874</v>
      </c>
      <c r="F13" s="1">
        <f>'Valori input_6_20'!E14*'Valori input_6_20'!$B$19</f>
        <v>9.5908553409539229E-2</v>
      </c>
      <c r="G13" s="1">
        <f>'Valori input_6_20'!F14*'Valori input_6_20'!$B$19</f>
        <v>0.81379760351168617</v>
      </c>
      <c r="H13" s="1">
        <f>'Valori input_6_20'!G14*'Valori input_6_20'!$B$19</f>
        <v>0.79566027689030894</v>
      </c>
      <c r="I13" s="1">
        <f>'Valori input_6_20'!H14*'Valori input_6_20'!$B$19</f>
        <v>0.17778119237861131</v>
      </c>
      <c r="J13" s="1">
        <f>'Valori input_6_20'!I14*'Valori input_6_20'!$B$19</f>
        <v>0.34383143080118006</v>
      </c>
      <c r="K13" s="1">
        <f>'Valori input_6_20'!J14*'Valori input_6_20'!$B$19</f>
        <v>0.51499865162835723</v>
      </c>
      <c r="L13" s="1">
        <f>'Valori input_6_20'!K14*'Valori input_6_20'!$B$19</f>
        <v>0.1311763806027233</v>
      </c>
      <c r="M13" s="1">
        <f>'Valori input_6_20'!L14*'Valori input_6_20'!$B$19</f>
        <v>0.15015713227215827</v>
      </c>
      <c r="N13" s="1">
        <f>'Valori input_6_20'!M14*'Valori input_6_20'!$B$19</f>
        <v>0.18941144158844569</v>
      </c>
      <c r="O13" s="1">
        <f>'Valori input_6_20'!N14*'Valori input_6_20'!$B$19</f>
        <v>0.1916268861454053</v>
      </c>
      <c r="P13" s="1">
        <f>'Valori input_6_20'!O14*'Valori input_6_20'!$B$19</f>
        <v>4.7378044798537584E-2</v>
      </c>
      <c r="Q13" s="1">
        <f>'Valori input_6_20'!P14*'Valori input_6_20'!$B$19</f>
        <v>2.6295276204334583E-2</v>
      </c>
      <c r="R13" s="1">
        <f>'Valori input_6_20'!Q14*'Valori input_6_20'!$B$19</f>
        <v>7.5228532893750991E-2</v>
      </c>
      <c r="S13" s="1">
        <f>'Valori input_6_20'!R14*'Valori input_6_20'!$B$19</f>
        <v>3.7350276907225449E-2</v>
      </c>
      <c r="T13" s="1">
        <f>'Valori input_6_20'!S14*'Valori input_6_20'!$B$19</f>
        <v>0.15318149800422678</v>
      </c>
      <c r="U13" s="1">
        <f>'Valori input_6_20'!T14*'Valori input_6_20'!$B$19</f>
        <v>5.6610420916002629E-2</v>
      </c>
      <c r="V13" s="1">
        <f>'Valori input_6_20'!U14*'Valori input_6_20'!$B$19</f>
        <v>0.2253071055800886</v>
      </c>
      <c r="W13" s="1">
        <f>'Valori input_6_20'!V14*'Valori input_6_20'!$B$19</f>
        <v>0</v>
      </c>
      <c r="X13" s="1">
        <f>'Valori input_6_20'!W14*'Valori input_6_20'!$B$19</f>
        <v>0</v>
      </c>
      <c r="Y13" s="1">
        <f>'Valori input_6_20'!X14*'Valori input_6_20'!$B$19</f>
        <v>0</v>
      </c>
    </row>
    <row r="14" spans="2:25" x14ac:dyDescent="0.3">
      <c r="B14">
        <v>50</v>
      </c>
      <c r="C14" s="1">
        <f>'Valori input_6_20'!B15*'Valori input_6_20'!$B$19</f>
        <v>0.83002018681356293</v>
      </c>
      <c r="D14" s="1">
        <f>'Valori input_6_20'!C15*'Valori input_6_20'!$B$19</f>
        <v>0.23894481169871815</v>
      </c>
      <c r="E14" s="1">
        <f>'Valori input_6_20'!D15*'Valori input_6_20'!$B$19</f>
        <v>0.42285415390896086</v>
      </c>
      <c r="F14" s="1">
        <f>'Valori input_6_20'!E15*'Valori input_6_20'!$B$19</f>
        <v>0.10797004335829749</v>
      </c>
      <c r="G14" s="1">
        <f>'Valori input_6_20'!F15*'Valori input_6_20'!$B$19</f>
        <v>0.99843793253450364</v>
      </c>
      <c r="H14" s="1">
        <f>'Valori input_6_20'!G15*'Valori input_6_20'!$B$19</f>
        <v>0.90821352502662389</v>
      </c>
      <c r="I14" s="1">
        <f>'Valori input_6_20'!H15*'Valori input_6_20'!$B$19</f>
        <v>0.22251843884449943</v>
      </c>
      <c r="J14" s="1">
        <f>'Valori input_6_20'!I15*'Valori input_6_20'!$B$19</f>
        <v>0.4127987725030095</v>
      </c>
      <c r="K14" s="1">
        <f>'Valori input_6_20'!J15*'Valori input_6_20'!$B$19</f>
        <v>0.57789622297308063</v>
      </c>
      <c r="L14" s="1">
        <f>'Valori input_6_20'!K15*'Valori input_6_20'!$B$19</f>
        <v>0.14918158176533589</v>
      </c>
      <c r="M14" s="1">
        <f>'Valori input_6_20'!L15*'Valori input_6_20'!$B$19</f>
        <v>0.18342318403638327</v>
      </c>
      <c r="N14" s="1">
        <f>'Valori input_6_20'!M15*'Valori input_6_20'!$B$19</f>
        <v>0.21295054687626247</v>
      </c>
      <c r="O14" s="1">
        <f>'Valori input_6_20'!N15*'Valori input_6_20'!$B$19</f>
        <v>0.23359122085048079</v>
      </c>
      <c r="P14" s="1">
        <f>'Valori input_6_20'!O15*'Valori input_6_20'!$B$19</f>
        <v>5.2700319989551457E-2</v>
      </c>
      <c r="Q14" s="1">
        <f>'Valori input_6_20'!P15*'Valori input_6_20'!$B$19</f>
        <v>2.9049524502416969E-2</v>
      </c>
      <c r="R14" s="1">
        <f>'Valori input_6_20'!Q15*'Valori input_6_20'!$B$19</f>
        <v>8.5643638543383874E-2</v>
      </c>
      <c r="S14" s="1">
        <f>'Valori input_6_20'!R15*'Valori input_6_20'!$B$19</f>
        <v>4.2015483907898103E-2</v>
      </c>
      <c r="T14" s="1">
        <f>'Valori input_6_20'!S15*'Valori input_6_20'!$B$19</f>
        <v>0.19355873835798712</v>
      </c>
      <c r="U14" s="1">
        <f>'Valori input_6_20'!T15*'Valori input_6_20'!$B$19</f>
        <v>6.3322825885407344E-2</v>
      </c>
      <c r="V14" s="1">
        <f>'Valori input_6_20'!U15*'Valori input_6_20'!$B$19</f>
        <v>0.25252509032517095</v>
      </c>
      <c r="W14" s="1">
        <f>'Valori input_6_20'!V15*'Valori input_6_20'!$B$19</f>
        <v>0</v>
      </c>
      <c r="X14" s="1">
        <f>'Valori input_6_20'!W15*'Valori input_6_20'!$B$19</f>
        <v>0</v>
      </c>
      <c r="Y14" s="1">
        <f>'Valori input_6_20'!X15*'Valori input_6_20'!$B$19</f>
        <v>0</v>
      </c>
    </row>
    <row r="15" spans="2:25" x14ac:dyDescent="0.3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7" spans="1:27" x14ac:dyDescent="0.3">
      <c r="A17" t="s">
        <v>18</v>
      </c>
      <c r="C17" s="8">
        <v>0.16757602924946044</v>
      </c>
      <c r="D17" s="8">
        <v>2.9565669996797748E-2</v>
      </c>
      <c r="E17" s="8">
        <v>5.9032449486784676E-2</v>
      </c>
      <c r="F17" s="8">
        <v>3.1719788196227658E-2</v>
      </c>
      <c r="G17" s="8">
        <v>0.18967344308849987</v>
      </c>
      <c r="H17" s="8">
        <v>0.18843737993608184</v>
      </c>
      <c r="I17" s="8">
        <v>2.2594682596219912E-2</v>
      </c>
      <c r="J17" s="8">
        <v>5.6778468565020015E-2</v>
      </c>
      <c r="K17" s="8">
        <v>0.11731523734169927</v>
      </c>
      <c r="L17" s="8">
        <v>3.8768794121174628E-2</v>
      </c>
      <c r="M17" s="8">
        <v>2.3525478722821604E-2</v>
      </c>
      <c r="N17" s="8">
        <v>5.4310466136998366E-2</v>
      </c>
      <c r="O17" s="8">
        <v>3.2805956567450514E-2</v>
      </c>
      <c r="P17" s="8">
        <v>1.6134528676813139E-2</v>
      </c>
      <c r="Q17" s="8">
        <v>1.1515514293219368E-2</v>
      </c>
      <c r="R17" s="8">
        <v>2.3768656823247976E-2</v>
      </c>
      <c r="S17" s="8">
        <v>1.3535468706998526E-2</v>
      </c>
      <c r="T17" s="8">
        <v>2.5526358199170748E-2</v>
      </c>
      <c r="U17" s="8">
        <v>2.0364533034708657E-2</v>
      </c>
      <c r="V17" s="8">
        <v>5.90214561311556E-2</v>
      </c>
      <c r="W17" s="8"/>
      <c r="X17" s="8"/>
      <c r="Y17" t="s">
        <v>16</v>
      </c>
      <c r="Z17">
        <v>12.282</v>
      </c>
      <c r="AA17" t="s">
        <v>17</v>
      </c>
    </row>
    <row r="18" spans="1:27" x14ac:dyDescent="0.3">
      <c r="A18" t="s">
        <v>15</v>
      </c>
      <c r="C18" s="8">
        <v>4.1714869719412392E-2</v>
      </c>
      <c r="D18" s="8">
        <v>3.8378019482887935E-3</v>
      </c>
      <c r="E18" s="8">
        <v>7.6824758908532343E-3</v>
      </c>
      <c r="F18" s="8">
        <v>6.7370959636547829E-3</v>
      </c>
      <c r="G18" s="8">
        <v>4.5369230679068402E-2</v>
      </c>
      <c r="H18" s="8">
        <v>4.8203245948860864E-2</v>
      </c>
      <c r="I18" s="8">
        <v>2.4369131950244495E-3</v>
      </c>
      <c r="J18" s="8">
        <v>6.6365469496071621E-3</v>
      </c>
      <c r="K18" s="8">
        <v>2.5648820945810859E-2</v>
      </c>
      <c r="L18" s="8">
        <v>1.1244780754482878E-2</v>
      </c>
      <c r="M18" s="8">
        <v>3.0708381088342118E-3</v>
      </c>
      <c r="N18" s="8">
        <v>3.1150516966282822E-3</v>
      </c>
      <c r="O18" s="8">
        <v>4.6158927690800166E-3</v>
      </c>
      <c r="P18" s="8">
        <v>5.6798502723670406E-3</v>
      </c>
      <c r="Q18" s="8">
        <v>4.7397858245635232E-3</v>
      </c>
      <c r="R18" s="8">
        <v>6.5609064040244381E-3</v>
      </c>
      <c r="S18" s="8">
        <v>4.9922884726767112E-3</v>
      </c>
      <c r="T18" s="8">
        <v>4.3941637379263992E-3</v>
      </c>
      <c r="U18" s="8">
        <v>4.8852239160768239E-3</v>
      </c>
      <c r="V18" s="8">
        <v>1.7641109905020544E-3</v>
      </c>
      <c r="W18" s="8"/>
      <c r="X18" s="8"/>
      <c r="Y18" t="s">
        <v>19</v>
      </c>
      <c r="Z18" s="8">
        <v>42.47</v>
      </c>
      <c r="AA18" t="s">
        <v>17</v>
      </c>
    </row>
    <row r="19" spans="1:27" x14ac:dyDescent="0.3">
      <c r="A19" t="s">
        <v>44</v>
      </c>
      <c r="C19" s="8">
        <v>0.12586115953004806</v>
      </c>
      <c r="D19" s="8">
        <v>2.5727868048508955E-2</v>
      </c>
      <c r="E19" s="8">
        <v>5.1349973595931443E-2</v>
      </c>
      <c r="F19" s="8">
        <v>2.4982692232572875E-2</v>
      </c>
      <c r="G19" s="8">
        <v>0.14430421240943148</v>
      </c>
      <c r="H19" s="8">
        <v>0.14023413398722098</v>
      </c>
      <c r="I19" s="8">
        <v>2.0157769401195461E-2</v>
      </c>
      <c r="J19" s="8">
        <v>5.0141921615412852E-2</v>
      </c>
      <c r="K19" s="8">
        <v>9.1666416395888406E-2</v>
      </c>
      <c r="L19" s="8">
        <v>2.752401336669175E-2</v>
      </c>
      <c r="M19" s="8">
        <v>2.0454640613987392E-2</v>
      </c>
      <c r="N19" s="8">
        <v>5.1195414440370082E-2</v>
      </c>
      <c r="O19" s="8">
        <v>2.8190063798370496E-2</v>
      </c>
      <c r="P19" s="8">
        <v>1.0454678404446098E-2</v>
      </c>
      <c r="Q19" s="8">
        <v>6.775728468655845E-3</v>
      </c>
      <c r="R19" s="8">
        <v>1.7207750419223539E-2</v>
      </c>
      <c r="S19" s="8">
        <v>8.5431802343218146E-3</v>
      </c>
      <c r="T19" s="8">
        <v>2.1132194461244348E-2</v>
      </c>
      <c r="U19" s="8">
        <v>1.5479309118631834E-2</v>
      </c>
      <c r="V19" s="8">
        <v>5.7257345140653546E-2</v>
      </c>
      <c r="W19" s="8"/>
      <c r="X19" s="8"/>
      <c r="Y19" s="8"/>
    </row>
    <row r="20" spans="1:27" x14ac:dyDescent="0.3">
      <c r="A20" t="s">
        <v>21</v>
      </c>
      <c r="C20" s="8">
        <v>48.763555162851148</v>
      </c>
      <c r="D20" s="8">
        <v>48.661217596239354</v>
      </c>
      <c r="E20" s="8">
        <v>48.670023358797252</v>
      </c>
      <c r="F20" s="8">
        <v>48.799118928843612</v>
      </c>
      <c r="G20" s="8">
        <v>48.758818202728847</v>
      </c>
      <c r="H20" s="8">
        <v>48.769577143425963</v>
      </c>
      <c r="I20" s="8">
        <v>48.628417820401033</v>
      </c>
      <c r="J20" s="8">
        <v>48.65898907442142</v>
      </c>
      <c r="K20" s="8">
        <v>48.752187126789217</v>
      </c>
      <c r="L20" s="8">
        <v>48.804339097657852</v>
      </c>
      <c r="M20" s="8">
        <v>48.663886306465614</v>
      </c>
      <c r="N20" s="8">
        <v>48.660887388123513</v>
      </c>
      <c r="O20" s="8">
        <v>48.678676283344849</v>
      </c>
      <c r="P20" s="8">
        <v>48.839870665958657</v>
      </c>
      <c r="Q20" s="8">
        <v>48.891097377567263</v>
      </c>
      <c r="R20" s="8">
        <v>48.811006855205761</v>
      </c>
      <c r="S20" s="8">
        <v>48.848276522399864</v>
      </c>
      <c r="T20" s="8">
        <v>48.693485586743357</v>
      </c>
      <c r="U20" s="8">
        <v>48.823876775847076</v>
      </c>
      <c r="V20" s="8">
        <v>48.596859149973646</v>
      </c>
      <c r="W20" s="10"/>
      <c r="X20" s="10"/>
      <c r="Y20" s="8"/>
    </row>
    <row r="21" spans="1:27" x14ac:dyDescent="0.3">
      <c r="A21" t="s">
        <v>22</v>
      </c>
      <c r="C21" s="8">
        <v>340.68485126860429</v>
      </c>
      <c r="D21" s="8">
        <v>69.494831273706794</v>
      </c>
      <c r="E21" s="8">
        <v>138.72908211976716</v>
      </c>
      <c r="F21" s="8">
        <v>67.673237270053903</v>
      </c>
      <c r="G21" s="8">
        <v>390.56912899025463</v>
      </c>
      <c r="H21" s="8">
        <v>379.63693675444387</v>
      </c>
      <c r="I21" s="8">
        <v>54.412458105391508</v>
      </c>
      <c r="J21" s="8">
        <v>135.43464979488587</v>
      </c>
      <c r="K21" s="8">
        <v>248.0676261656692</v>
      </c>
      <c r="L21" s="8">
        <v>74.565155796641207</v>
      </c>
      <c r="M21" s="8">
        <v>55.254083001870463</v>
      </c>
      <c r="N21" s="8">
        <v>138.28555630703084</v>
      </c>
      <c r="O21" s="8">
        <v>76.17291091022571</v>
      </c>
      <c r="P21" s="8">
        <v>28.343332840818118</v>
      </c>
      <c r="Q21" s="8">
        <v>18.388720530946856</v>
      </c>
      <c r="R21" s="8">
        <v>46.62379259924451</v>
      </c>
      <c r="S21" s="8">
        <v>23.165119648451451</v>
      </c>
      <c r="T21" s="8">
        <v>57.11907890174075</v>
      </c>
      <c r="U21" s="8">
        <v>41.951700304375613</v>
      </c>
      <c r="V21" s="8">
        <v>154.45612751050615</v>
      </c>
      <c r="W21" s="10"/>
      <c r="X21" s="10"/>
      <c r="Y21" s="8"/>
    </row>
    <row r="22" spans="1:27" x14ac:dyDescent="0.3">
      <c r="A22" t="s">
        <v>124</v>
      </c>
      <c r="C22" s="8">
        <v>9.9685393085442691</v>
      </c>
      <c r="D22" s="8">
        <v>2.1539638836981267</v>
      </c>
      <c r="E22" s="8">
        <v>2.6433730951108272</v>
      </c>
      <c r="F22" s="8">
        <v>0.21068187140336678</v>
      </c>
      <c r="G22" s="8">
        <v>9.9989935354649173</v>
      </c>
      <c r="H22" s="8">
        <v>9.9951571236111789</v>
      </c>
      <c r="I22" s="8">
        <v>2.6740076758781983</v>
      </c>
      <c r="J22" s="8">
        <v>2.117558292829282</v>
      </c>
      <c r="K22" s="8">
        <v>3.9261205669016319</v>
      </c>
      <c r="L22" s="8">
        <v>0.87186063285974802</v>
      </c>
      <c r="M22" s="8">
        <v>1.5241273656945469</v>
      </c>
      <c r="N22" s="8">
        <v>0.27434189890415711</v>
      </c>
      <c r="O22" s="8">
        <v>1.6701499225257856</v>
      </c>
      <c r="P22" s="8">
        <v>0.28780438885562054</v>
      </c>
      <c r="Q22" s="8">
        <v>7.9334088174389444E-2</v>
      </c>
      <c r="R22" s="8">
        <v>0.299395235896385</v>
      </c>
      <c r="S22" s="8">
        <v>0.21130465635912443</v>
      </c>
      <c r="T22" s="8">
        <v>3.8518710934719302</v>
      </c>
      <c r="U22" s="8">
        <v>0.11669949558755854</v>
      </c>
      <c r="V22" s="8">
        <v>0.31098905741924199</v>
      </c>
    </row>
    <row r="23" spans="1:27" x14ac:dyDescent="0.3">
      <c r="A23" t="s">
        <v>125</v>
      </c>
      <c r="C23" s="8">
        <v>267.61589687195294</v>
      </c>
      <c r="D23" s="8">
        <v>504.69926938496104</v>
      </c>
      <c r="E23" s="8">
        <v>733.84587816419048</v>
      </c>
      <c r="F23" s="8">
        <v>2474.000869930243</v>
      </c>
      <c r="G23" s="8">
        <v>326.34776335273858</v>
      </c>
      <c r="H23" s="8">
        <v>289.56390374667478</v>
      </c>
      <c r="I23" s="8">
        <v>411.39437299596983</v>
      </c>
      <c r="J23" s="8">
        <v>902.81688958874372</v>
      </c>
      <c r="K23" s="8">
        <v>585.30871128039928</v>
      </c>
      <c r="L23" s="8">
        <v>620.29438686179662</v>
      </c>
      <c r="M23" s="8">
        <v>550.61441411267333</v>
      </c>
      <c r="N23" s="8">
        <v>3522.1681711757578</v>
      </c>
      <c r="O23" s="8">
        <v>624.47006318904153</v>
      </c>
      <c r="P23" s="8">
        <v>609.28371869521368</v>
      </c>
      <c r="Q23" s="8">
        <v>1660.6736557782106</v>
      </c>
      <c r="R23" s="8">
        <v>1215.09178581528</v>
      </c>
      <c r="S23" s="8">
        <v>669.43805052934124</v>
      </c>
      <c r="T23" s="8">
        <v>191.8282718452879</v>
      </c>
      <c r="U23" s="8">
        <v>2681.4086229611216</v>
      </c>
      <c r="V23" s="8">
        <v>3578.7399997357506</v>
      </c>
      <c r="W23" s="1"/>
      <c r="X23" s="1"/>
      <c r="Y23" s="1"/>
    </row>
    <row r="24" spans="1:27" x14ac:dyDescent="0.3">
      <c r="A24" t="s">
        <v>126</v>
      </c>
      <c r="C24" s="8">
        <v>0.49222861041718452</v>
      </c>
      <c r="D24" s="8">
        <v>0.65433520330719019</v>
      </c>
      <c r="E24" s="8">
        <v>0.72159069300753997</v>
      </c>
      <c r="F24" s="8">
        <v>1.0046619366085623</v>
      </c>
      <c r="G24" s="8">
        <v>0.51764995069979114</v>
      </c>
      <c r="H24" s="8">
        <v>0.49594499383582658</v>
      </c>
      <c r="I24" s="8">
        <v>0.64339700134025024</v>
      </c>
      <c r="J24" s="8">
        <v>0.78257895050212267</v>
      </c>
      <c r="K24" s="8">
        <v>0.60464602087418562</v>
      </c>
      <c r="L24" s="8">
        <v>0.56250417134625186</v>
      </c>
      <c r="M24" s="8">
        <v>0.66800554142644208</v>
      </c>
      <c r="N24" s="8">
        <v>1.7089145637309762</v>
      </c>
      <c r="O24" s="8">
        <v>0.68021022066313264</v>
      </c>
      <c r="P24" s="8">
        <v>0.51958349920670066</v>
      </c>
      <c r="Q24" s="8">
        <v>0.63586766920921445</v>
      </c>
      <c r="R24" s="8">
        <v>0.69038765420186066</v>
      </c>
      <c r="S24" s="8">
        <v>0.52037622710518128</v>
      </c>
      <c r="T24" s="8">
        <v>0.50518388988555307</v>
      </c>
      <c r="U24" s="8">
        <v>1.0041563031578185</v>
      </c>
      <c r="V24" s="8">
        <v>1.9077943800878678</v>
      </c>
      <c r="W24" s="1"/>
      <c r="X24" s="1"/>
      <c r="Y24" s="1"/>
    </row>
    <row r="25" spans="1:27" x14ac:dyDescent="0.3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7" x14ac:dyDescent="0.3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7" x14ac:dyDescent="0.3">
      <c r="C27" s="8"/>
      <c r="D27" s="1"/>
      <c r="E27" s="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9" spans="1:27" x14ac:dyDescent="0.3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7" x14ac:dyDescent="0.3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7" x14ac:dyDescent="0.3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7" x14ac:dyDescent="0.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7" spans="1:25" x14ac:dyDescent="0.3">
      <c r="A37" s="3"/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">
      <c r="A38" s="3"/>
      <c r="B38" s="1"/>
    </row>
    <row r="39" spans="1:25" x14ac:dyDescent="0.3">
      <c r="A39" s="3"/>
      <c r="B39" s="1"/>
    </row>
    <row r="40" spans="1:25" x14ac:dyDescent="0.3">
      <c r="A40" s="3"/>
      <c r="B40" s="1"/>
    </row>
    <row r="41" spans="1:25" x14ac:dyDescent="0.3">
      <c r="A41" s="3"/>
      <c r="B41" s="1"/>
    </row>
    <row r="42" spans="1:25" x14ac:dyDescent="0.3">
      <c r="A42" s="3"/>
      <c r="B42" s="1"/>
    </row>
    <row r="43" spans="1:25" x14ac:dyDescent="0.3">
      <c r="A43" s="3"/>
      <c r="B43" s="1"/>
    </row>
    <row r="44" spans="1:25" x14ac:dyDescent="0.3">
      <c r="A44" s="3"/>
      <c r="B44" s="1"/>
    </row>
    <row r="45" spans="1:25" x14ac:dyDescent="0.3">
      <c r="A45" s="3"/>
      <c r="B45" s="1"/>
    </row>
    <row r="46" spans="1:25" x14ac:dyDescent="0.3">
      <c r="A46" s="3"/>
      <c r="B46" s="1"/>
    </row>
    <row r="47" spans="1:25" x14ac:dyDescent="0.3">
      <c r="A47" s="3"/>
      <c r="B47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0BA1-3015-44F8-9ACC-12F46BC75013}">
  <dimension ref="A1:X35"/>
  <sheetViews>
    <sheetView zoomScale="44" workbookViewId="0">
      <selection activeCell="D5" sqref="D5:D15"/>
    </sheetView>
  </sheetViews>
  <sheetFormatPr defaultRowHeight="14.4" x14ac:dyDescent="0.3"/>
  <cols>
    <col min="1" max="1" width="15.33203125" bestFit="1" customWidth="1"/>
    <col min="2" max="2" width="12.5546875" bestFit="1" customWidth="1"/>
    <col min="3" max="3" width="15.33203125" customWidth="1"/>
    <col min="4" max="4" width="14.5546875" customWidth="1"/>
    <col min="5" max="5" width="12.5546875" customWidth="1"/>
    <col min="6" max="6" width="11.5546875" customWidth="1"/>
    <col min="7" max="7" width="12.5546875" customWidth="1"/>
    <col min="8" max="8" width="15.33203125" customWidth="1"/>
    <col min="9" max="9" width="14.5546875" customWidth="1"/>
    <col min="10" max="10" width="13.5546875" customWidth="1"/>
    <col min="11" max="11" width="12.5546875" customWidth="1"/>
    <col min="12" max="12" width="15.33203125" customWidth="1"/>
    <col min="13" max="13" width="14.5546875" customWidth="1"/>
    <col min="14" max="14" width="16.33203125" customWidth="1"/>
    <col min="15" max="18" width="12.5546875" customWidth="1"/>
    <col min="19" max="19" width="15.33203125" customWidth="1"/>
    <col min="20" max="20" width="12.5546875" customWidth="1"/>
    <col min="21" max="21" width="15.33203125" customWidth="1"/>
  </cols>
  <sheetData>
    <row r="1" spans="1:24" x14ac:dyDescent="0.3"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  <c r="G1" s="3" t="s">
        <v>132</v>
      </c>
      <c r="H1" s="3" t="s">
        <v>133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140</v>
      </c>
      <c r="P1" s="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  <c r="V1" s="3" t="s">
        <v>147</v>
      </c>
      <c r="W1" s="3" t="s">
        <v>148</v>
      </c>
      <c r="X1" s="3" t="s">
        <v>149</v>
      </c>
    </row>
    <row r="2" spans="1:24" x14ac:dyDescent="0.3">
      <c r="A2" t="s">
        <v>150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118</v>
      </c>
      <c r="Q2" t="s">
        <v>119</v>
      </c>
      <c r="R2" t="s">
        <v>120</v>
      </c>
      <c r="S2" t="s">
        <v>121</v>
      </c>
      <c r="T2" t="s">
        <v>122</v>
      </c>
      <c r="U2" t="s">
        <v>123</v>
      </c>
      <c r="X2" s="3"/>
    </row>
    <row r="3" spans="1:24" x14ac:dyDescent="0.3">
      <c r="A3" t="s">
        <v>151</v>
      </c>
      <c r="B3">
        <v>584.54</v>
      </c>
      <c r="C3">
        <v>798.72</v>
      </c>
      <c r="D3">
        <v>783.84</v>
      </c>
      <c r="E3">
        <v>634.25</v>
      </c>
      <c r="F3">
        <v>505.74</v>
      </c>
      <c r="G3">
        <v>600.96</v>
      </c>
      <c r="H3">
        <v>1301.5999999999999</v>
      </c>
      <c r="I3">
        <v>756.01</v>
      </c>
      <c r="J3">
        <v>630.39</v>
      </c>
      <c r="K3">
        <v>653.70000000000005</v>
      </c>
      <c r="L3">
        <v>782.78</v>
      </c>
      <c r="M3">
        <v>618.97</v>
      </c>
      <c r="N3">
        <v>911.25</v>
      </c>
      <c r="O3">
        <v>612.52</v>
      </c>
      <c r="P3">
        <v>577.29</v>
      </c>
      <c r="Q3">
        <v>533.84</v>
      </c>
      <c r="R3">
        <v>698.79</v>
      </c>
      <c r="S3">
        <v>1277.7</v>
      </c>
      <c r="T3">
        <v>539.29999999999995</v>
      </c>
      <c r="U3">
        <v>622.75</v>
      </c>
    </row>
    <row r="4" spans="1:24" x14ac:dyDescent="0.3">
      <c r="A4" s="3" t="s">
        <v>0</v>
      </c>
      <c r="B4" s="3" t="s">
        <v>152</v>
      </c>
      <c r="C4" s="3" t="s">
        <v>152</v>
      </c>
      <c r="D4" s="3" t="s">
        <v>152</v>
      </c>
      <c r="E4" s="3" t="s">
        <v>152</v>
      </c>
      <c r="F4" s="3" t="s">
        <v>152</v>
      </c>
      <c r="G4" s="3" t="s">
        <v>152</v>
      </c>
      <c r="H4" s="3" t="s">
        <v>152</v>
      </c>
      <c r="I4" s="3" t="s">
        <v>152</v>
      </c>
      <c r="J4" s="3" t="s">
        <v>152</v>
      </c>
      <c r="K4" s="3" t="s">
        <v>152</v>
      </c>
      <c r="L4" s="3" t="s">
        <v>152</v>
      </c>
      <c r="M4" s="3" t="s">
        <v>152</v>
      </c>
      <c r="N4" s="3" t="s">
        <v>152</v>
      </c>
      <c r="O4" s="3" t="s">
        <v>152</v>
      </c>
      <c r="P4" s="3" t="s">
        <v>152</v>
      </c>
      <c r="Q4" s="3" t="s">
        <v>152</v>
      </c>
      <c r="R4" s="3" t="s">
        <v>152</v>
      </c>
      <c r="S4" s="3" t="s">
        <v>152</v>
      </c>
      <c r="T4" s="3" t="s">
        <v>152</v>
      </c>
      <c r="U4" s="3" t="s">
        <v>152</v>
      </c>
      <c r="V4" s="3" t="s">
        <v>152</v>
      </c>
      <c r="W4" s="3" t="s">
        <v>152</v>
      </c>
      <c r="X4" s="3" t="s">
        <v>152</v>
      </c>
    </row>
    <row r="5" spans="1:24" x14ac:dyDescent="0.3">
      <c r="A5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/>
      <c r="W5" s="1"/>
      <c r="X5" s="1"/>
    </row>
    <row r="6" spans="1:24" x14ac:dyDescent="0.3">
      <c r="A6">
        <v>5</v>
      </c>
      <c r="B6" s="2">
        <v>4.8533889896328919</v>
      </c>
      <c r="C6" s="2">
        <v>0.84885817307694666</v>
      </c>
      <c r="D6" s="2">
        <v>1.2081547254542075</v>
      </c>
      <c r="E6" s="2">
        <v>0.66535277887271649</v>
      </c>
      <c r="F6" s="2">
        <v>5.9259698659390656</v>
      </c>
      <c r="G6" s="2">
        <v>5.1916932907348272</v>
      </c>
      <c r="H6" s="2">
        <v>0.76982175783655071</v>
      </c>
      <c r="I6" s="2">
        <v>1.1785558392085125</v>
      </c>
      <c r="J6" s="2">
        <v>2.8204762131379222</v>
      </c>
      <c r="K6" s="2">
        <v>1.3278262199786226</v>
      </c>
      <c r="L6" s="2">
        <v>0.8763637292726113</v>
      </c>
      <c r="M6" s="2">
        <v>0.51698789925199673</v>
      </c>
      <c r="N6" s="2">
        <v>1.0227709190672396</v>
      </c>
      <c r="O6" s="2">
        <v>0.78854568014107029</v>
      </c>
      <c r="P6" s="2">
        <v>0.59415545046686447</v>
      </c>
      <c r="Q6" s="2">
        <v>0.91038513412261102</v>
      </c>
      <c r="R6" s="2">
        <v>0.55953863106228463</v>
      </c>
      <c r="S6" s="2">
        <v>0.96266729279175167</v>
      </c>
      <c r="T6" s="2">
        <v>0.60448729834977011</v>
      </c>
      <c r="U6" s="2">
        <v>0.42071457246087396</v>
      </c>
      <c r="V6" s="2"/>
      <c r="W6" s="2"/>
      <c r="X6" s="2"/>
    </row>
    <row r="7" spans="1:24" x14ac:dyDescent="0.3">
      <c r="A7">
        <v>10</v>
      </c>
      <c r="B7" s="2">
        <v>7.7531050056454864</v>
      </c>
      <c r="C7" s="2">
        <v>1.6388721955128489</v>
      </c>
      <c r="D7" s="2">
        <v>2.9011022657685439</v>
      </c>
      <c r="E7" s="2">
        <v>2.2782814347654972</v>
      </c>
      <c r="F7" s="2">
        <v>8.8108514256337465</v>
      </c>
      <c r="G7" s="2">
        <v>8.5479898828541057</v>
      </c>
      <c r="H7" s="2">
        <v>1.3652427781192567</v>
      </c>
      <c r="I7" s="2">
        <v>2.6772132643748252</v>
      </c>
      <c r="J7" s="2">
        <v>6.0533955170609008</v>
      </c>
      <c r="K7" s="2">
        <v>2.615878843506215</v>
      </c>
      <c r="L7" s="2">
        <v>1.5802652086154541</v>
      </c>
      <c r="M7" s="2">
        <v>1.7755303164935372</v>
      </c>
      <c r="N7" s="2">
        <v>1.9149519890260842</v>
      </c>
      <c r="O7" s="2">
        <v>1.2440410109057916</v>
      </c>
      <c r="P7" s="2">
        <v>0.89036705988329301</v>
      </c>
      <c r="Q7" s="2">
        <v>1.6278285628653053</v>
      </c>
      <c r="R7" s="2">
        <v>1.0246282860373095</v>
      </c>
      <c r="S7" s="2">
        <v>1.6474915864444115</v>
      </c>
      <c r="T7" s="2">
        <v>1.3665863155943161</v>
      </c>
      <c r="U7" s="2">
        <v>1.5014050582095892</v>
      </c>
      <c r="V7" s="2"/>
      <c r="W7" s="2"/>
      <c r="X7" s="2"/>
    </row>
    <row r="8" spans="1:24" x14ac:dyDescent="0.3">
      <c r="A8">
        <v>15</v>
      </c>
      <c r="B8" s="2">
        <v>21.965990351387447</v>
      </c>
      <c r="C8" s="2">
        <v>3.2702323717949122</v>
      </c>
      <c r="D8" s="2">
        <v>6.7080016329863543</v>
      </c>
      <c r="E8" s="2">
        <v>3.5270003941663526</v>
      </c>
      <c r="F8" s="2">
        <v>26.468145687507423</v>
      </c>
      <c r="G8" s="2">
        <v>24.773695420660278</v>
      </c>
      <c r="H8" s="2">
        <v>2.7281807006761341</v>
      </c>
      <c r="I8" s="2">
        <v>6.2737265380087779</v>
      </c>
      <c r="J8" s="2">
        <v>14.694078269008111</v>
      </c>
      <c r="K8" s="2">
        <v>4.3261434908979801</v>
      </c>
      <c r="L8" s="2">
        <v>2.6290911878177905</v>
      </c>
      <c r="M8" s="2">
        <v>6.7515388467939008</v>
      </c>
      <c r="N8" s="2">
        <v>3.5149519890260881</v>
      </c>
      <c r="O8" s="2">
        <v>1.7762685300072152</v>
      </c>
      <c r="P8" s="2">
        <v>1.212562143809911</v>
      </c>
      <c r="Q8" s="2">
        <v>2.5794245466806758</v>
      </c>
      <c r="R8" s="2">
        <v>1.489717941012334</v>
      </c>
      <c r="S8" s="2">
        <v>3.1290600297409688</v>
      </c>
      <c r="T8" s="2">
        <v>2.2677544965696708</v>
      </c>
      <c r="U8" s="2">
        <v>7.3962264150943779</v>
      </c>
      <c r="V8" s="2"/>
      <c r="W8" s="2"/>
      <c r="X8" s="2"/>
    </row>
    <row r="9" spans="1:24" x14ac:dyDescent="0.3">
      <c r="A9">
        <v>20</v>
      </c>
      <c r="B9" s="2">
        <v>26.531973859787232</v>
      </c>
      <c r="C9" s="2">
        <v>4.7263120993589904</v>
      </c>
      <c r="D9" s="2">
        <v>10.026280873647696</v>
      </c>
      <c r="E9" s="2">
        <v>4.4130863224281081</v>
      </c>
      <c r="F9" s="2">
        <v>31.488511883576557</v>
      </c>
      <c r="G9" s="2">
        <v>29.973708732694359</v>
      </c>
      <c r="H9" s="2">
        <v>3.6754763368162653</v>
      </c>
      <c r="I9" s="2">
        <v>9.4019920371424099</v>
      </c>
      <c r="J9" s="2">
        <v>18.544075889528745</v>
      </c>
      <c r="K9" s="2">
        <v>5.3923818265259653</v>
      </c>
      <c r="L9" s="2">
        <v>3.5220623930095498</v>
      </c>
      <c r="M9" s="2">
        <v>8.5319159248429219</v>
      </c>
      <c r="N9" s="2">
        <v>5.0096021947874014</v>
      </c>
      <c r="O9" s="2">
        <v>2.1174818781427742</v>
      </c>
      <c r="P9" s="2">
        <v>1.4221621715256056</v>
      </c>
      <c r="Q9" s="2">
        <v>3.2256855986812663</v>
      </c>
      <c r="R9" s="2">
        <v>1.7816511398274348</v>
      </c>
      <c r="S9" s="2">
        <v>4.0158096579792142</v>
      </c>
      <c r="T9" s="2">
        <v>2.8036343408122182</v>
      </c>
      <c r="U9" s="2">
        <v>9.3520674427940733</v>
      </c>
      <c r="V9" s="2"/>
      <c r="W9" s="2"/>
      <c r="X9" s="2"/>
    </row>
    <row r="10" spans="1:24" x14ac:dyDescent="0.3">
      <c r="A10">
        <v>25</v>
      </c>
      <c r="B10" s="2">
        <v>31.40075957162901</v>
      </c>
      <c r="C10" s="2">
        <v>6.7282652243590118</v>
      </c>
      <c r="D10" s="2">
        <v>13.229740763421116</v>
      </c>
      <c r="E10" s="2">
        <v>5.3496255419787317</v>
      </c>
      <c r="F10" s="2">
        <v>36.48515047257488</v>
      </c>
      <c r="G10" s="2">
        <v>35.226970181043647</v>
      </c>
      <c r="H10" s="2">
        <v>5.2281807006761349</v>
      </c>
      <c r="I10" s="2">
        <v>12.858295525191508</v>
      </c>
      <c r="J10" s="2">
        <v>22.224337314995502</v>
      </c>
      <c r="K10" s="2">
        <v>6.4035490286064309</v>
      </c>
      <c r="L10" s="2">
        <v>5.0320652035054669</v>
      </c>
      <c r="M10" s="2">
        <v>11.170169798213191</v>
      </c>
      <c r="N10" s="2">
        <v>7.0233196159122153</v>
      </c>
      <c r="O10" s="2">
        <v>2.4750212237968157</v>
      </c>
      <c r="P10" s="2">
        <v>1.6577456737515281</v>
      </c>
      <c r="Q10" s="2">
        <v>3.9356361456616273</v>
      </c>
      <c r="R10" s="2">
        <v>2.0735843386425352</v>
      </c>
      <c r="S10" s="2">
        <v>5.2797996399781271</v>
      </c>
      <c r="T10" s="2">
        <v>3.3283886519562733</v>
      </c>
      <c r="U10" s="2">
        <v>13.289441991168237</v>
      </c>
      <c r="V10" s="2"/>
      <c r="W10" s="2"/>
      <c r="X10" s="2"/>
    </row>
    <row r="11" spans="1:24" x14ac:dyDescent="0.3">
      <c r="A11">
        <v>30</v>
      </c>
      <c r="B11" s="2">
        <v>36.533000307934486</v>
      </c>
      <c r="C11" s="2">
        <v>9.0494791666667034</v>
      </c>
      <c r="D11" s="2">
        <v>15.813176158399695</v>
      </c>
      <c r="E11" s="2">
        <v>6.3366180528183307</v>
      </c>
      <c r="F11" s="2">
        <v>41.79024795349391</v>
      </c>
      <c r="G11" s="2">
        <v>40.733160276890302</v>
      </c>
      <c r="H11" s="2">
        <v>7.4062692071297045</v>
      </c>
      <c r="I11" s="2">
        <v>16.755069377389205</v>
      </c>
      <c r="J11" s="2">
        <v>25.622233855232494</v>
      </c>
      <c r="K11" s="2">
        <v>7.6181734740706863</v>
      </c>
      <c r="L11" s="2">
        <v>7.0032448452949936</v>
      </c>
      <c r="M11" s="2">
        <v>13.018401538039013</v>
      </c>
      <c r="N11" s="2">
        <v>9.4946502057613333</v>
      </c>
      <c r="O11" s="2">
        <v>2.845621367465593</v>
      </c>
      <c r="P11" s="2">
        <v>1.8725423963692991</v>
      </c>
      <c r="Q11" s="2">
        <v>4.6755582196913217</v>
      </c>
      <c r="R11" s="2">
        <v>2.3869832138410807</v>
      </c>
      <c r="S11" s="2">
        <v>6.9656413868670599</v>
      </c>
      <c r="T11" s="2">
        <v>3.8494344520675248</v>
      </c>
      <c r="U11" s="2">
        <v>15.656362906463295</v>
      </c>
      <c r="V11" s="2"/>
      <c r="W11" s="2"/>
      <c r="X11" s="2"/>
    </row>
    <row r="12" spans="1:24" x14ac:dyDescent="0.3">
      <c r="A12">
        <v>35</v>
      </c>
      <c r="B12" s="2">
        <v>42.754986827248821</v>
      </c>
      <c r="C12" s="2">
        <v>11.801382211538485</v>
      </c>
      <c r="D12" s="2">
        <v>22.470146968769143</v>
      </c>
      <c r="E12" s="2">
        <v>7.3504138746551355</v>
      </c>
      <c r="F12" s="2">
        <v>48.481433147467115</v>
      </c>
      <c r="G12" s="2">
        <v>47.252728966986147</v>
      </c>
      <c r="H12" s="2">
        <v>10.464812538414286</v>
      </c>
      <c r="I12" s="2">
        <v>21.757648708350462</v>
      </c>
      <c r="J12" s="2">
        <v>30.877710623582264</v>
      </c>
      <c r="K12" s="2">
        <v>9.4569374330733087</v>
      </c>
      <c r="L12" s="2">
        <v>9.4598737831830153</v>
      </c>
      <c r="M12" s="2">
        <v>14.840783882902247</v>
      </c>
      <c r="N12" s="2">
        <v>12.330315500685909</v>
      </c>
      <c r="O12" s="2">
        <v>3.3272382942597853</v>
      </c>
      <c r="P12" s="2">
        <v>2.0960002771570818</v>
      </c>
      <c r="Q12" s="2">
        <v>5.5428592836805155</v>
      </c>
      <c r="R12" s="2">
        <v>2.7633480730978146</v>
      </c>
      <c r="S12" s="2">
        <v>9.2956092979573057</v>
      </c>
      <c r="T12" s="2">
        <v>4.4038568514741723</v>
      </c>
      <c r="U12" s="2">
        <v>17.798474508229639</v>
      </c>
      <c r="V12" s="2"/>
      <c r="W12" s="2"/>
      <c r="X12" s="2"/>
    </row>
    <row r="13" spans="1:24" x14ac:dyDescent="0.3">
      <c r="A13">
        <v>40</v>
      </c>
      <c r="B13" s="2">
        <v>58.353577171793255</v>
      </c>
      <c r="C13" s="2">
        <v>15.198066907051318</v>
      </c>
      <c r="D13" s="2">
        <v>29.016125739946947</v>
      </c>
      <c r="E13" s="2">
        <v>8.4398896334253326</v>
      </c>
      <c r="F13" s="2">
        <v>63.376438486178685</v>
      </c>
      <c r="G13" s="2">
        <v>62.58819222577209</v>
      </c>
      <c r="H13" s="2">
        <v>14.068070067609119</v>
      </c>
      <c r="I13" s="2">
        <v>27.999629634528667</v>
      </c>
      <c r="J13" s="2">
        <v>43.750694014816268</v>
      </c>
      <c r="K13" s="2">
        <v>11.381367599816468</v>
      </c>
      <c r="L13" s="2">
        <v>12.192442320958639</v>
      </c>
      <c r="M13" s="2">
        <v>16.800491138504327</v>
      </c>
      <c r="N13" s="2">
        <v>15.566529492455459</v>
      </c>
      <c r="O13" s="2">
        <v>4.1108861751453301</v>
      </c>
      <c r="P13" s="2">
        <v>2.3592994855272575</v>
      </c>
      <c r="Q13" s="2">
        <v>6.5581447624756564</v>
      </c>
      <c r="R13" s="2">
        <v>3.2355929535339771</v>
      </c>
      <c r="S13" s="2">
        <v>12.173436643969652</v>
      </c>
      <c r="T13" s="2">
        <v>5.0046356387910471</v>
      </c>
      <c r="U13" s="2">
        <v>20.061019670814972</v>
      </c>
      <c r="V13" s="2"/>
      <c r="W13" s="2"/>
      <c r="X13" s="2"/>
    </row>
    <row r="14" spans="1:24" x14ac:dyDescent="0.3">
      <c r="A14">
        <v>45</v>
      </c>
      <c r="B14" s="2">
        <v>73.507373319191188</v>
      </c>
      <c r="C14" s="2">
        <v>19.225761217948758</v>
      </c>
      <c r="D14" s="2">
        <v>35.407736272708739</v>
      </c>
      <c r="E14" s="2">
        <v>9.5908553409539223</v>
      </c>
      <c r="F14" s="2">
        <v>81.379760351168613</v>
      </c>
      <c r="G14" s="2">
        <v>79.566027689030889</v>
      </c>
      <c r="H14" s="2">
        <v>17.77811923786113</v>
      </c>
      <c r="I14" s="2">
        <v>34.383143080118003</v>
      </c>
      <c r="J14" s="2">
        <v>51.499865162835725</v>
      </c>
      <c r="K14" s="2">
        <v>13.117638060272331</v>
      </c>
      <c r="L14" s="2">
        <v>15.015713227215826</v>
      </c>
      <c r="M14" s="2">
        <v>18.941144158844569</v>
      </c>
      <c r="N14" s="2">
        <v>19.162688614540528</v>
      </c>
      <c r="O14" s="2">
        <v>4.7378044798537582</v>
      </c>
      <c r="P14" s="2">
        <v>2.6295276204334583</v>
      </c>
      <c r="Q14" s="2">
        <v>7.5228532893750995</v>
      </c>
      <c r="R14" s="2">
        <v>3.735027690722545</v>
      </c>
      <c r="S14" s="2">
        <v>15.318149800422679</v>
      </c>
      <c r="T14" s="2">
        <v>5.6610420916002626</v>
      </c>
      <c r="U14" s="2">
        <v>22.53071055800886</v>
      </c>
      <c r="V14" s="2"/>
      <c r="W14" s="2"/>
      <c r="X14" s="2"/>
    </row>
    <row r="15" spans="1:24" x14ac:dyDescent="0.3">
      <c r="A15">
        <v>50</v>
      </c>
      <c r="B15" s="2">
        <v>83.00201868135629</v>
      </c>
      <c r="C15" s="2">
        <v>23.894481169871813</v>
      </c>
      <c r="D15" s="2">
        <v>42.285415390896084</v>
      </c>
      <c r="E15" s="2">
        <v>10.797004335829749</v>
      </c>
      <c r="F15" s="2">
        <v>99.843793253450357</v>
      </c>
      <c r="G15" s="2">
        <v>90.821352502662393</v>
      </c>
      <c r="H15" s="2">
        <v>22.251843884449944</v>
      </c>
      <c r="I15" s="2">
        <v>41.279877250300949</v>
      </c>
      <c r="J15" s="2">
        <v>57.789622297308064</v>
      </c>
      <c r="K15" s="2">
        <v>14.918158176533588</v>
      </c>
      <c r="L15" s="2">
        <v>18.342318403638327</v>
      </c>
      <c r="M15" s="2">
        <v>21.295054687626248</v>
      </c>
      <c r="N15" s="2">
        <v>23.359122085048078</v>
      </c>
      <c r="O15" s="2">
        <v>5.2700319989551456</v>
      </c>
      <c r="P15" s="2">
        <v>2.904952450241697</v>
      </c>
      <c r="Q15" s="2">
        <v>8.5643638543383869</v>
      </c>
      <c r="R15" s="2">
        <v>4.2015483907898101</v>
      </c>
      <c r="S15" s="2">
        <v>19.355873835798711</v>
      </c>
      <c r="T15" s="2">
        <v>6.3322825885407337</v>
      </c>
      <c r="U15" s="2">
        <v>25.252509032517093</v>
      </c>
      <c r="V15" s="2"/>
      <c r="W15" s="2"/>
      <c r="X15" s="2"/>
    </row>
    <row r="17" spans="1:3" x14ac:dyDescent="0.3">
      <c r="A17" s="14" t="s">
        <v>153</v>
      </c>
      <c r="B17" s="4">
        <v>1E-3</v>
      </c>
    </row>
    <row r="18" spans="1:3" x14ac:dyDescent="0.3">
      <c r="A18" s="14"/>
    </row>
    <row r="19" spans="1:3" x14ac:dyDescent="0.3">
      <c r="A19" s="14" t="s">
        <v>154</v>
      </c>
      <c r="B19">
        <v>0.01</v>
      </c>
    </row>
    <row r="20" spans="1:3" x14ac:dyDescent="0.3">
      <c r="A20" s="14"/>
    </row>
    <row r="22" spans="1:3" x14ac:dyDescent="0.3">
      <c r="A22" t="s">
        <v>155</v>
      </c>
      <c r="B22" s="15" t="s">
        <v>156</v>
      </c>
      <c r="C22" s="15"/>
    </row>
    <row r="23" spans="1:3" x14ac:dyDescent="0.3">
      <c r="A23" t="s">
        <v>157</v>
      </c>
      <c r="B23">
        <v>20</v>
      </c>
    </row>
    <row r="26" spans="1:3" ht="14.4" customHeight="1" x14ac:dyDescent="0.3"/>
    <row r="27" spans="1:3" ht="14.4" customHeight="1" x14ac:dyDescent="0.3">
      <c r="B27" s="9"/>
    </row>
    <row r="28" spans="1:3" ht="18" customHeight="1" x14ac:dyDescent="0.3">
      <c r="B28" s="9"/>
    </row>
    <row r="29" spans="1:3" ht="18" customHeight="1" x14ac:dyDescent="0.3">
      <c r="B29" s="9"/>
    </row>
    <row r="30" spans="1:3" ht="18" customHeight="1" x14ac:dyDescent="0.3">
      <c r="B30" s="9"/>
    </row>
    <row r="31" spans="1:3" ht="18" customHeight="1" x14ac:dyDescent="0.3">
      <c r="B31" s="9"/>
    </row>
    <row r="32" spans="1:3" ht="18" customHeight="1" x14ac:dyDescent="0.3">
      <c r="B32" s="9"/>
    </row>
    <row r="33" spans="2:2" ht="18" customHeight="1" x14ac:dyDescent="0.3">
      <c r="B33" s="9"/>
    </row>
    <row r="34" spans="2:2" ht="18" customHeight="1" x14ac:dyDescent="0.3">
      <c r="B34" s="9"/>
    </row>
    <row r="35" spans="2:2" ht="18" customHeight="1" x14ac:dyDescent="0.3">
      <c r="B35" s="9"/>
    </row>
  </sheetData>
  <mergeCells count="3">
    <mergeCell ref="A17:A18"/>
    <mergeCell ref="A19:A20"/>
    <mergeCell ref="B22:C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DDF4-229F-4CC6-B29A-0F560758A13D}">
  <dimension ref="A1:X35"/>
  <sheetViews>
    <sheetView zoomScale="92" workbookViewId="0">
      <selection activeCell="B17" sqref="B17:C23"/>
    </sheetView>
  </sheetViews>
  <sheetFormatPr defaultRowHeight="14.4" x14ac:dyDescent="0.3"/>
  <cols>
    <col min="1" max="1" width="15.33203125" bestFit="1" customWidth="1"/>
    <col min="2" max="2" width="11" bestFit="1" customWidth="1"/>
  </cols>
  <sheetData>
    <row r="1" spans="1:24" x14ac:dyDescent="0.3"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  <c r="G1" s="3" t="s">
        <v>132</v>
      </c>
      <c r="H1" s="3" t="s">
        <v>133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140</v>
      </c>
      <c r="P1" s="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  <c r="V1" s="3" t="s">
        <v>147</v>
      </c>
      <c r="W1" s="3" t="s">
        <v>148</v>
      </c>
      <c r="X1" s="3" t="s">
        <v>149</v>
      </c>
    </row>
    <row r="2" spans="1:24" x14ac:dyDescent="0.3">
      <c r="A2" t="s">
        <v>150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  <c r="S2" t="s">
        <v>101</v>
      </c>
      <c r="T2" t="s">
        <v>102</v>
      </c>
      <c r="U2" t="s">
        <v>103</v>
      </c>
      <c r="X2" s="3"/>
    </row>
    <row r="3" spans="1:24" x14ac:dyDescent="0.3">
      <c r="A3" t="s">
        <v>151</v>
      </c>
      <c r="B3">
        <v>789.28</v>
      </c>
      <c r="C3">
        <v>669.52</v>
      </c>
      <c r="D3">
        <v>771.99</v>
      </c>
      <c r="E3">
        <v>747.69</v>
      </c>
      <c r="F3">
        <v>1033.0899999999999</v>
      </c>
      <c r="G3">
        <v>728.53</v>
      </c>
      <c r="H3">
        <v>688.93</v>
      </c>
      <c r="I3">
        <v>643.29999999999995</v>
      </c>
      <c r="J3">
        <v>877.38</v>
      </c>
      <c r="K3">
        <v>884.58</v>
      </c>
      <c r="L3">
        <v>671.82</v>
      </c>
      <c r="M3">
        <v>691.74</v>
      </c>
      <c r="N3">
        <v>861.17</v>
      </c>
      <c r="O3">
        <v>802.94</v>
      </c>
      <c r="P3">
        <v>854.56</v>
      </c>
      <c r="Q3">
        <v>632.17999999999995</v>
      </c>
      <c r="R3">
        <v>672.09</v>
      </c>
      <c r="S3">
        <v>774.73</v>
      </c>
      <c r="T3">
        <v>589.80999999999995</v>
      </c>
      <c r="U3">
        <v>731.14</v>
      </c>
      <c r="V3">
        <v>638.35</v>
      </c>
      <c r="W3">
        <v>566.65</v>
      </c>
    </row>
    <row r="4" spans="1:24" x14ac:dyDescent="0.3">
      <c r="A4" s="3" t="s">
        <v>0</v>
      </c>
      <c r="B4" s="3" t="s">
        <v>152</v>
      </c>
      <c r="C4" s="3" t="s">
        <v>152</v>
      </c>
      <c r="D4" s="3" t="s">
        <v>152</v>
      </c>
      <c r="E4" s="3" t="s">
        <v>152</v>
      </c>
      <c r="F4" s="3" t="s">
        <v>152</v>
      </c>
      <c r="G4" s="3" t="s">
        <v>152</v>
      </c>
      <c r="H4" s="3" t="s">
        <v>152</v>
      </c>
      <c r="I4" s="3" t="s">
        <v>152</v>
      </c>
      <c r="J4" s="3" t="s">
        <v>152</v>
      </c>
      <c r="K4" s="3" t="s">
        <v>152</v>
      </c>
      <c r="L4" s="3" t="s">
        <v>152</v>
      </c>
      <c r="M4" s="3" t="s">
        <v>152</v>
      </c>
      <c r="N4" s="3" t="s">
        <v>152</v>
      </c>
      <c r="O4" s="3" t="s">
        <v>152</v>
      </c>
      <c r="P4" s="3" t="s">
        <v>152</v>
      </c>
      <c r="Q4" s="3" t="s">
        <v>152</v>
      </c>
      <c r="R4" s="3" t="s">
        <v>152</v>
      </c>
      <c r="S4" s="3" t="s">
        <v>152</v>
      </c>
      <c r="T4" s="3" t="s">
        <v>152</v>
      </c>
      <c r="U4" s="3" t="s">
        <v>152</v>
      </c>
      <c r="V4" s="3" t="s">
        <v>152</v>
      </c>
      <c r="W4" s="3" t="s">
        <v>152</v>
      </c>
      <c r="X4" s="3" t="s">
        <v>152</v>
      </c>
    </row>
    <row r="5" spans="1:24" x14ac:dyDescent="0.3">
      <c r="A5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/>
    </row>
    <row r="6" spans="1:24" x14ac:dyDescent="0.3">
      <c r="A6">
        <v>5</v>
      </c>
      <c r="B6" s="2">
        <v>3.8313399554024223</v>
      </c>
      <c r="C6" s="2">
        <v>4.8975385350698959</v>
      </c>
      <c r="D6" s="2">
        <v>2.6373398619152968</v>
      </c>
      <c r="E6" s="2">
        <v>2.2937313592531479</v>
      </c>
      <c r="F6" s="2">
        <v>0.99700897308077541</v>
      </c>
      <c r="G6" s="2">
        <v>2.197228745244207E-2</v>
      </c>
      <c r="H6" s="2">
        <v>2.6838720915042842</v>
      </c>
      <c r="I6" s="2">
        <v>4.4318358464169645</v>
      </c>
      <c r="J6" s="2">
        <v>0.60521096902142435</v>
      </c>
      <c r="K6" s="2">
        <v>0.8987316014379757</v>
      </c>
      <c r="L6" s="2">
        <v>0.46887559167633847</v>
      </c>
      <c r="M6" s="2">
        <v>1.0726573568103892</v>
      </c>
      <c r="N6" s="2">
        <v>1.005608648698886</v>
      </c>
      <c r="O6" s="2">
        <v>0.67501930405761157</v>
      </c>
      <c r="P6" s="2">
        <v>0.48563003182925613</v>
      </c>
      <c r="Q6" s="2">
        <v>0.39387516213740337</v>
      </c>
      <c r="R6" s="2">
        <v>1.0058176732283033</v>
      </c>
      <c r="S6" s="2">
        <v>0.65054922360050482</v>
      </c>
      <c r="T6" s="2">
        <v>0.27296926128755489</v>
      </c>
      <c r="U6" s="2">
        <v>0.32551905243868789</v>
      </c>
      <c r="V6" s="2"/>
      <c r="W6" s="2"/>
      <c r="X6" s="2"/>
    </row>
    <row r="7" spans="1:24" x14ac:dyDescent="0.3">
      <c r="A7">
        <v>10</v>
      </c>
      <c r="B7" s="2">
        <v>7.6766166632881072</v>
      </c>
      <c r="C7" s="2">
        <v>9.4605090213884626</v>
      </c>
      <c r="D7" s="2">
        <v>5.7992979183668014</v>
      </c>
      <c r="E7" s="2">
        <v>6.0546483168158041</v>
      </c>
      <c r="F7" s="2">
        <v>2.472195065289565</v>
      </c>
      <c r="G7" s="2">
        <v>0.15929908403024312</v>
      </c>
      <c r="H7" s="2">
        <v>6.613153731148361</v>
      </c>
      <c r="I7" s="2">
        <v>8.8527903000155881</v>
      </c>
      <c r="J7" s="2">
        <v>1.5352526841277601</v>
      </c>
      <c r="K7" s="2">
        <v>2.5469714440751638</v>
      </c>
      <c r="L7" s="2">
        <v>1.0925545533029557</v>
      </c>
      <c r="M7" s="2">
        <v>2.1829010900049348</v>
      </c>
      <c r="N7" s="2">
        <v>2.0181845628621788</v>
      </c>
      <c r="O7" s="2">
        <v>1.4110643385558124</v>
      </c>
      <c r="P7" s="2">
        <v>0.73137052986333484</v>
      </c>
      <c r="Q7" s="2">
        <v>1.5849916163118432</v>
      </c>
      <c r="R7" s="2">
        <v>2.1023970004017309</v>
      </c>
      <c r="S7" s="2">
        <v>1.373381694267708</v>
      </c>
      <c r="T7" s="2">
        <v>0.76634848510538922</v>
      </c>
      <c r="U7" s="2">
        <v>1.0887107804251102</v>
      </c>
      <c r="V7" s="2"/>
      <c r="W7" s="2"/>
      <c r="X7" s="2"/>
    </row>
    <row r="8" spans="1:24" x14ac:dyDescent="0.3">
      <c r="A8">
        <v>15</v>
      </c>
      <c r="B8" s="2">
        <v>19.269460774376679</v>
      </c>
      <c r="C8" s="2">
        <v>24.958178993906071</v>
      </c>
      <c r="D8" s="2">
        <v>12.983328799595851</v>
      </c>
      <c r="E8" s="2">
        <v>12.969278711765558</v>
      </c>
      <c r="F8" s="2">
        <v>4.5755936075269545</v>
      </c>
      <c r="G8" s="2">
        <v>0.29250607671074369</v>
      </c>
      <c r="H8" s="2">
        <v>14.428171222040005</v>
      </c>
      <c r="I8" s="2">
        <v>23.051453443183636</v>
      </c>
      <c r="J8" s="2">
        <v>2.9474116118443563</v>
      </c>
      <c r="K8" s="2">
        <v>5.1436840082299202</v>
      </c>
      <c r="L8" s="2">
        <v>1.7519573695334862</v>
      </c>
      <c r="M8" s="2">
        <v>3.4478272183190413</v>
      </c>
      <c r="N8" s="2">
        <v>3.2432620736904521</v>
      </c>
      <c r="O8" s="2">
        <v>2.3115052183226714</v>
      </c>
      <c r="P8" s="2">
        <v>0.97126006365851225</v>
      </c>
      <c r="Q8" s="2">
        <v>5.7863266791104051</v>
      </c>
      <c r="R8" s="2">
        <v>3.3998422830275907</v>
      </c>
      <c r="S8" s="2">
        <v>2.1478450556968509</v>
      </c>
      <c r="T8" s="2">
        <v>1.2919414726776814</v>
      </c>
      <c r="U8" s="2">
        <v>2.1254479306289071</v>
      </c>
      <c r="V8" s="2"/>
      <c r="W8" s="2"/>
      <c r="X8" s="2"/>
    </row>
    <row r="9" spans="1:24" x14ac:dyDescent="0.3">
      <c r="A9">
        <v>20</v>
      </c>
      <c r="B9" s="2">
        <v>24.030762213663138</v>
      </c>
      <c r="C9" s="2">
        <v>30.639861393236945</v>
      </c>
      <c r="D9" s="2">
        <v>16.58182100804413</v>
      </c>
      <c r="E9" s="2">
        <v>16.472067300619248</v>
      </c>
      <c r="F9" s="2">
        <v>5.8020114414039714</v>
      </c>
      <c r="G9" s="2">
        <v>0.39962097804144076</v>
      </c>
      <c r="H9" s="2">
        <v>18.334228441205973</v>
      </c>
      <c r="I9" s="2">
        <v>28.313384113166521</v>
      </c>
      <c r="J9" s="2">
        <v>4.2535731382069404</v>
      </c>
      <c r="K9" s="2">
        <v>7.39333921182934</v>
      </c>
      <c r="L9" s="2">
        <v>2.2372063945699527</v>
      </c>
      <c r="M9" s="2">
        <v>4.381704108480073</v>
      </c>
      <c r="N9" s="2">
        <v>4.0816563512430868</v>
      </c>
      <c r="O9" s="2">
        <v>3.0512865220315479</v>
      </c>
      <c r="P9" s="2">
        <v>1.144448605130149</v>
      </c>
      <c r="Q9" s="2">
        <v>7.213135499383128</v>
      </c>
      <c r="R9" s="2">
        <v>4.3595351813001502</v>
      </c>
      <c r="S9" s="2">
        <v>2.6964232700424793</v>
      </c>
      <c r="T9" s="2">
        <v>1.6903748664824314</v>
      </c>
      <c r="U9" s="2">
        <v>2.7094674070629821</v>
      </c>
      <c r="V9" s="2"/>
      <c r="W9" s="2"/>
      <c r="X9" s="2"/>
    </row>
    <row r="10" spans="1:24" x14ac:dyDescent="0.3">
      <c r="A10">
        <v>25</v>
      </c>
      <c r="B10" s="2">
        <v>29.667545104398968</v>
      </c>
      <c r="C10" s="2">
        <v>36.993667104791506</v>
      </c>
      <c r="D10" s="2">
        <v>21.052086166919256</v>
      </c>
      <c r="E10" s="2">
        <v>20.152737096925204</v>
      </c>
      <c r="F10" s="2">
        <v>7.0187495765131782</v>
      </c>
      <c r="G10" s="2">
        <v>0.51497548716679975</v>
      </c>
      <c r="H10" s="2">
        <v>22.561072968226135</v>
      </c>
      <c r="I10" s="2">
        <v>34.56863049898962</v>
      </c>
      <c r="J10" s="2">
        <v>6.1318926804805303</v>
      </c>
      <c r="K10" s="2">
        <v>10.215017296344069</v>
      </c>
      <c r="L10" s="2">
        <v>2.7522252984430198</v>
      </c>
      <c r="M10" s="2">
        <v>5.5454361465290614</v>
      </c>
      <c r="N10" s="2">
        <v>5.1755170291580121</v>
      </c>
      <c r="O10" s="2">
        <v>4.0413978628540166</v>
      </c>
      <c r="P10" s="2">
        <v>1.3106159895150908</v>
      </c>
      <c r="Q10" s="2">
        <v>8.8155272232592186</v>
      </c>
      <c r="R10" s="2">
        <v>5.6019283131723396</v>
      </c>
      <c r="S10" s="2">
        <v>3.2850154247286354</v>
      </c>
      <c r="T10" s="2">
        <v>2.1311947915430673</v>
      </c>
      <c r="U10" s="2">
        <v>3.345460513718308</v>
      </c>
      <c r="V10" s="2"/>
      <c r="W10" s="2"/>
      <c r="X10" s="2"/>
    </row>
    <row r="11" spans="1:24" x14ac:dyDescent="0.3">
      <c r="A11">
        <v>30</v>
      </c>
      <c r="B11" s="2">
        <v>35.366409892560348</v>
      </c>
      <c r="C11" s="2">
        <v>43.347472816346048</v>
      </c>
      <c r="D11" s="2">
        <v>25.939455174289851</v>
      </c>
      <c r="E11" s="2">
        <v>24.304190239270287</v>
      </c>
      <c r="F11" s="2">
        <v>8.1686977901247833</v>
      </c>
      <c r="G11" s="2">
        <v>0.63307653222373306</v>
      </c>
      <c r="H11" s="2">
        <v>27.210311642692329</v>
      </c>
      <c r="I11" s="2">
        <v>40.705736048499965</v>
      </c>
      <c r="J11" s="2">
        <v>8.1458433062071336</v>
      </c>
      <c r="K11" s="2">
        <v>13.327228741323564</v>
      </c>
      <c r="L11" s="2">
        <v>3.2330088416540184</v>
      </c>
      <c r="M11" s="2">
        <v>6.765547749154333</v>
      </c>
      <c r="N11" s="2">
        <v>6.4145290709151777</v>
      </c>
      <c r="O11" s="2">
        <v>5.0178095499041113</v>
      </c>
      <c r="P11" s="2">
        <v>1.4604006740310957</v>
      </c>
      <c r="Q11" s="2">
        <v>9.6997690531178105</v>
      </c>
      <c r="R11" s="2">
        <v>6.9529378505854895</v>
      </c>
      <c r="S11" s="2">
        <v>3.8632814012624128</v>
      </c>
      <c r="T11" s="2">
        <v>2.5567555653515419</v>
      </c>
      <c r="U11" s="2">
        <v>3.9923954372623807</v>
      </c>
      <c r="V11" s="2"/>
      <c r="W11" s="2"/>
      <c r="X11" s="2"/>
    </row>
    <row r="12" spans="1:24" x14ac:dyDescent="0.3">
      <c r="A12">
        <v>35</v>
      </c>
      <c r="B12" s="2">
        <v>41.791252787350544</v>
      </c>
      <c r="C12" s="2">
        <v>50.917074919345183</v>
      </c>
      <c r="D12" s="2">
        <v>31.515952279174581</v>
      </c>
      <c r="E12" s="2">
        <v>30.381575251775491</v>
      </c>
      <c r="F12" s="2">
        <v>9.3186460037363847</v>
      </c>
      <c r="G12" s="2">
        <v>0.76491025693841597</v>
      </c>
      <c r="H12" s="2">
        <v>33.73347074448786</v>
      </c>
      <c r="I12" s="2">
        <v>47.358930514534464</v>
      </c>
      <c r="J12" s="2">
        <v>10.502860790079554</v>
      </c>
      <c r="K12" s="2">
        <v>17.386782427818883</v>
      </c>
      <c r="L12" s="2">
        <v>3.7658896728290245</v>
      </c>
      <c r="M12" s="2">
        <v>8.1779281232833227</v>
      </c>
      <c r="N12" s="2">
        <v>7.8753323966232056</v>
      </c>
      <c r="O12" s="2">
        <v>6.1349540438887074</v>
      </c>
      <c r="P12" s="2">
        <v>1.6253978655682708</v>
      </c>
      <c r="Q12" s="2">
        <v>10.533392388243895</v>
      </c>
      <c r="R12" s="2">
        <v>8.5806960377330679</v>
      </c>
      <c r="S12" s="2">
        <v>4.5022136744414469</v>
      </c>
      <c r="T12" s="2">
        <v>3.048439327919183</v>
      </c>
      <c r="U12" s="2">
        <v>4.7200262603605632</v>
      </c>
      <c r="V12" s="2"/>
      <c r="W12" s="2"/>
      <c r="X12" s="2"/>
    </row>
    <row r="13" spans="1:24" x14ac:dyDescent="0.3">
      <c r="A13">
        <v>40</v>
      </c>
      <c r="B13" s="2">
        <v>47.727042367727613</v>
      </c>
      <c r="C13" s="2">
        <v>58.128211255825079</v>
      </c>
      <c r="D13" s="2">
        <v>36.681822303397695</v>
      </c>
      <c r="E13" s="2">
        <v>36.250317645013283</v>
      </c>
      <c r="F13" s="2">
        <v>10.519896620817189</v>
      </c>
      <c r="G13" s="2">
        <v>0.89262417775579839</v>
      </c>
      <c r="H13" s="2">
        <v>40.091155850376715</v>
      </c>
      <c r="I13" s="2">
        <v>53.514689880304751</v>
      </c>
      <c r="J13" s="2">
        <v>13.013745469465904</v>
      </c>
      <c r="K13" s="2">
        <v>21.50512107440818</v>
      </c>
      <c r="L13" s="2">
        <v>4.2183918311452517</v>
      </c>
      <c r="M13" s="2">
        <v>9.7392083730881716</v>
      </c>
      <c r="N13" s="2">
        <v>9.3477478314386513</v>
      </c>
      <c r="O13" s="2">
        <v>7.2222083841881242</v>
      </c>
      <c r="P13" s="2">
        <v>1.7915652499532126</v>
      </c>
      <c r="Q13" s="2">
        <v>11.507798411844764</v>
      </c>
      <c r="R13" s="2">
        <v>10.31558273445523</v>
      </c>
      <c r="S13" s="2">
        <v>5.0417564829037289</v>
      </c>
      <c r="T13" s="2">
        <v>3.492650175480263</v>
      </c>
      <c r="U13" s="2">
        <v>5.4558634461252433</v>
      </c>
      <c r="V13" s="2"/>
      <c r="W13" s="2"/>
      <c r="X13" s="2"/>
    </row>
    <row r="14" spans="1:24" x14ac:dyDescent="0.3">
      <c r="A14">
        <v>45</v>
      </c>
      <c r="B14" s="2">
        <v>53.705909183052988</v>
      </c>
      <c r="C14" s="2">
        <v>64.97192018162265</v>
      </c>
      <c r="D14" s="2">
        <v>41.535512118032599</v>
      </c>
      <c r="E14" s="2">
        <v>41.264427770867599</v>
      </c>
      <c r="F14" s="2">
        <v>11.967979556476214</v>
      </c>
      <c r="G14" s="2">
        <v>1.1398124115958708</v>
      </c>
      <c r="H14" s="2">
        <v>45.448739349426006</v>
      </c>
      <c r="I14" s="2">
        <v>59.664231307321685</v>
      </c>
      <c r="J14" s="2">
        <v>16.153776014953628</v>
      </c>
      <c r="K14" s="2">
        <v>26.360532682176871</v>
      </c>
      <c r="L14" s="2">
        <v>4.7095948319490146</v>
      </c>
      <c r="M14" s="2">
        <v>11.758753288807954</v>
      </c>
      <c r="N14" s="2">
        <v>11.290453685102841</v>
      </c>
      <c r="O14" s="2">
        <v>8.5037487234413636</v>
      </c>
      <c r="P14" s="2">
        <v>1.9986893840105164</v>
      </c>
      <c r="Q14" s="2">
        <v>13.587902179758963</v>
      </c>
      <c r="R14" s="2">
        <v>12.611406210477762</v>
      </c>
      <c r="S14" s="2">
        <v>5.6329301821279802</v>
      </c>
      <c r="T14" s="2">
        <v>4.0606296943083642</v>
      </c>
      <c r="U14" s="2">
        <v>6.2806028941105767</v>
      </c>
      <c r="V14" s="2"/>
      <c r="W14" s="2"/>
      <c r="X14" s="2"/>
    </row>
    <row r="15" spans="1:24" x14ac:dyDescent="0.3">
      <c r="A15">
        <v>50</v>
      </c>
      <c r="B15" s="2">
        <v>60.541252787350572</v>
      </c>
      <c r="C15" s="2">
        <v>72.849205400884216</v>
      </c>
      <c r="D15" s="2">
        <v>47.104237101516837</v>
      </c>
      <c r="E15" s="2">
        <v>46.71454747288314</v>
      </c>
      <c r="F15" s="2">
        <v>13.83519344877986</v>
      </c>
      <c r="G15" s="2">
        <v>1.5078482264244204</v>
      </c>
      <c r="H15" s="2">
        <v>51.340484519472284</v>
      </c>
      <c r="I15" s="2">
        <v>66.86771335302349</v>
      </c>
      <c r="J15" s="2">
        <v>20.395951583122496</v>
      </c>
      <c r="K15" s="2">
        <v>32.883402292613489</v>
      </c>
      <c r="L15" s="2">
        <v>5.2707570480188091</v>
      </c>
      <c r="M15" s="2">
        <v>14.501113134992943</v>
      </c>
      <c r="N15" s="2">
        <v>14.006526005318374</v>
      </c>
      <c r="O15" s="2">
        <v>10.574887289212169</v>
      </c>
      <c r="P15" s="2">
        <v>2.2374087249578869</v>
      </c>
      <c r="Q15" s="2">
        <v>16.957195735391863</v>
      </c>
      <c r="R15" s="2">
        <v>15.67795979705099</v>
      </c>
      <c r="S15" s="2">
        <v>6.3518903359880552</v>
      </c>
      <c r="T15" s="2">
        <v>4.7252505043997424</v>
      </c>
      <c r="U15" s="2">
        <v>7.1983477856498226</v>
      </c>
      <c r="V15" s="2"/>
      <c r="W15" s="2"/>
      <c r="X15" s="2"/>
    </row>
    <row r="17" spans="1:3" x14ac:dyDescent="0.3">
      <c r="A17" s="14" t="s">
        <v>153</v>
      </c>
      <c r="B17" s="4">
        <v>1E-3</v>
      </c>
    </row>
    <row r="18" spans="1:3" x14ac:dyDescent="0.3">
      <c r="A18" s="14"/>
    </row>
    <row r="19" spans="1:3" x14ac:dyDescent="0.3">
      <c r="A19" s="14" t="s">
        <v>154</v>
      </c>
      <c r="B19">
        <v>0.01</v>
      </c>
    </row>
    <row r="20" spans="1:3" x14ac:dyDescent="0.3">
      <c r="A20" s="14"/>
    </row>
    <row r="22" spans="1:3" x14ac:dyDescent="0.3">
      <c r="A22" t="s">
        <v>155</v>
      </c>
      <c r="B22" s="15" t="s">
        <v>158</v>
      </c>
      <c r="C22" s="15"/>
    </row>
    <row r="23" spans="1:3" x14ac:dyDescent="0.3">
      <c r="A23" t="s">
        <v>157</v>
      </c>
      <c r="B23">
        <v>20</v>
      </c>
    </row>
    <row r="26" spans="1:3" ht="14.4" customHeight="1" x14ac:dyDescent="0.3"/>
    <row r="27" spans="1:3" ht="14.4" customHeight="1" x14ac:dyDescent="0.3">
      <c r="B27" s="9"/>
    </row>
    <row r="28" spans="1:3" ht="18" customHeight="1" x14ac:dyDescent="0.3">
      <c r="B28" s="9"/>
    </row>
    <row r="29" spans="1:3" ht="18" customHeight="1" x14ac:dyDescent="0.3">
      <c r="B29" s="9"/>
    </row>
    <row r="30" spans="1:3" ht="18" customHeight="1" x14ac:dyDescent="0.3">
      <c r="B30" s="9"/>
    </row>
    <row r="31" spans="1:3" ht="18" customHeight="1" x14ac:dyDescent="0.3">
      <c r="B31" s="9"/>
    </row>
    <row r="32" spans="1:3" ht="18" customHeight="1" x14ac:dyDescent="0.3">
      <c r="B32" s="9"/>
    </row>
    <row r="33" spans="2:2" ht="18" customHeight="1" x14ac:dyDescent="0.3">
      <c r="B33" s="9"/>
    </row>
    <row r="34" spans="2:2" ht="18" customHeight="1" x14ac:dyDescent="0.3">
      <c r="B34" s="9"/>
    </row>
    <row r="35" spans="2:2" ht="18" customHeight="1" x14ac:dyDescent="0.3">
      <c r="B35" s="9"/>
    </row>
  </sheetData>
  <mergeCells count="3">
    <mergeCell ref="A17:A18"/>
    <mergeCell ref="A19:A20"/>
    <mergeCell ref="B22:C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43F8-B69B-4379-A50C-0D2AE2051960}">
  <dimension ref="A1:X35"/>
  <sheetViews>
    <sheetView topLeftCell="B1" zoomScale="92" workbookViewId="0">
      <selection activeCell="D5" sqref="D5:D15"/>
    </sheetView>
  </sheetViews>
  <sheetFormatPr defaultRowHeight="14.4" x14ac:dyDescent="0.3"/>
  <cols>
    <col min="1" max="1" width="15.33203125" bestFit="1" customWidth="1"/>
    <col min="2" max="2" width="11" bestFit="1" customWidth="1"/>
  </cols>
  <sheetData>
    <row r="1" spans="1:24" x14ac:dyDescent="0.3"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  <c r="G1" s="3" t="s">
        <v>132</v>
      </c>
      <c r="H1" s="3" t="s">
        <v>133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140</v>
      </c>
      <c r="P1" s="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  <c r="V1" s="3" t="s">
        <v>147</v>
      </c>
      <c r="W1" s="3" t="s">
        <v>148</v>
      </c>
      <c r="X1" s="3" t="s">
        <v>149</v>
      </c>
    </row>
    <row r="2" spans="1:24" x14ac:dyDescent="0.3">
      <c r="A2" t="s">
        <v>150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49</v>
      </c>
      <c r="W2" t="s">
        <v>55</v>
      </c>
      <c r="X2" s="3"/>
    </row>
    <row r="3" spans="1:24" x14ac:dyDescent="0.3">
      <c r="A3" t="s">
        <v>151</v>
      </c>
      <c r="B3">
        <v>754.04</v>
      </c>
      <c r="C3">
        <v>535.33000000000004</v>
      </c>
      <c r="D3">
        <v>481.86</v>
      </c>
      <c r="E3">
        <v>949.81</v>
      </c>
      <c r="F3">
        <v>753.98</v>
      </c>
      <c r="G3">
        <v>867.01</v>
      </c>
      <c r="H3">
        <v>539.13</v>
      </c>
      <c r="I3">
        <v>804.88</v>
      </c>
      <c r="J3">
        <v>598.01</v>
      </c>
      <c r="K3">
        <v>632.84</v>
      </c>
      <c r="L3">
        <v>693.69</v>
      </c>
      <c r="M3">
        <v>539.69000000000005</v>
      </c>
      <c r="N3">
        <v>608.78</v>
      </c>
      <c r="O3">
        <v>1319.19</v>
      </c>
      <c r="P3">
        <v>601.52</v>
      </c>
      <c r="Q3">
        <v>687.43</v>
      </c>
      <c r="R3">
        <v>547.97</v>
      </c>
      <c r="S3">
        <v>686.19</v>
      </c>
      <c r="T3">
        <v>647.98</v>
      </c>
      <c r="U3">
        <v>603.22</v>
      </c>
      <c r="V3">
        <v>638.35</v>
      </c>
      <c r="W3">
        <v>566.65</v>
      </c>
    </row>
    <row r="4" spans="1:24" x14ac:dyDescent="0.3">
      <c r="A4" s="3" t="s">
        <v>0</v>
      </c>
      <c r="B4" s="3" t="s">
        <v>152</v>
      </c>
      <c r="C4" s="3" t="s">
        <v>152</v>
      </c>
      <c r="D4" s="3" t="s">
        <v>152</v>
      </c>
      <c r="E4" s="3" t="s">
        <v>152</v>
      </c>
      <c r="F4" s="3" t="s">
        <v>152</v>
      </c>
      <c r="G4" s="3" t="s">
        <v>152</v>
      </c>
      <c r="H4" s="3" t="s">
        <v>152</v>
      </c>
      <c r="I4" s="3" t="s">
        <v>152</v>
      </c>
      <c r="J4" s="3" t="s">
        <v>152</v>
      </c>
      <c r="K4" s="3" t="s">
        <v>152</v>
      </c>
      <c r="L4" s="3" t="s">
        <v>152</v>
      </c>
      <c r="M4" s="3" t="s">
        <v>152</v>
      </c>
      <c r="N4" s="3" t="s">
        <v>152</v>
      </c>
      <c r="O4" s="3" t="s">
        <v>152</v>
      </c>
      <c r="P4" s="3" t="s">
        <v>152</v>
      </c>
      <c r="Q4" s="3" t="s">
        <v>152</v>
      </c>
      <c r="R4" s="3" t="s">
        <v>152</v>
      </c>
      <c r="S4" s="3" t="s">
        <v>152</v>
      </c>
      <c r="T4" s="3" t="s">
        <v>152</v>
      </c>
      <c r="U4" s="3" t="s">
        <v>152</v>
      </c>
      <c r="V4" s="3" t="s">
        <v>152</v>
      </c>
      <c r="W4" s="3" t="s">
        <v>152</v>
      </c>
      <c r="X4" s="3" t="s">
        <v>152</v>
      </c>
    </row>
    <row r="5" spans="1:24" x14ac:dyDescent="0.3">
      <c r="A5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/>
    </row>
    <row r="6" spans="1:24" x14ac:dyDescent="0.3">
      <c r="A6">
        <v>5</v>
      </c>
      <c r="B6" s="2">
        <v>1.7200679009071476</v>
      </c>
      <c r="C6" s="2">
        <v>1.7521902377972456</v>
      </c>
      <c r="D6" s="2">
        <v>0.89237537874073902</v>
      </c>
      <c r="E6" s="2">
        <v>0.71172129162676945</v>
      </c>
      <c r="F6" s="2">
        <v>1.232128173161102</v>
      </c>
      <c r="G6" s="2">
        <v>0.83390041637352874</v>
      </c>
      <c r="H6" s="2">
        <v>0.77161352549481488</v>
      </c>
      <c r="I6" s="2">
        <v>1.1952092237352441</v>
      </c>
      <c r="J6" s="2">
        <v>2.3410979749502898</v>
      </c>
      <c r="K6" s="2">
        <v>1.442702736868736</v>
      </c>
      <c r="L6" s="2">
        <v>0.51608067003995362</v>
      </c>
      <c r="M6" s="2">
        <v>0.6207267134836707</v>
      </c>
      <c r="N6" s="2">
        <v>1.4915076053747092</v>
      </c>
      <c r="O6" s="2">
        <v>0.44117981488640273</v>
      </c>
      <c r="P6" s="2">
        <v>0.901050671631897</v>
      </c>
      <c r="Q6" s="2">
        <v>0.10764732409119807</v>
      </c>
      <c r="R6" s="2">
        <v>0.47995328211402499</v>
      </c>
      <c r="S6" s="2">
        <v>1.3319925968026658</v>
      </c>
      <c r="T6" s="2">
        <v>1.1373807833575644</v>
      </c>
      <c r="U6" s="2">
        <v>9.9466198070378375E-2</v>
      </c>
      <c r="V6" s="2">
        <v>0.40103391556358936</v>
      </c>
      <c r="W6" s="2">
        <v>0.45177799347042669</v>
      </c>
      <c r="X6" s="2"/>
    </row>
    <row r="7" spans="1:24" x14ac:dyDescent="0.3">
      <c r="A7">
        <v>10</v>
      </c>
      <c r="B7" s="2">
        <v>2.4746697787916019</v>
      </c>
      <c r="C7" s="2">
        <v>4.049838417424799</v>
      </c>
      <c r="D7" s="2">
        <v>2.6563732204374855</v>
      </c>
      <c r="E7" s="2">
        <v>1.6476979606447941</v>
      </c>
      <c r="F7" s="2">
        <v>2.0279052494761238</v>
      </c>
      <c r="G7" s="2">
        <v>1.7681456961280901</v>
      </c>
      <c r="H7" s="2">
        <v>1.9995177415465608</v>
      </c>
      <c r="I7" s="2">
        <v>2.6612662757181287</v>
      </c>
      <c r="J7" s="2">
        <v>5.6019130114881026</v>
      </c>
      <c r="K7" s="2">
        <v>3.0592250805891106</v>
      </c>
      <c r="L7" s="2">
        <v>1.2556040882815305</v>
      </c>
      <c r="M7" s="2">
        <v>1.1488076488354508</v>
      </c>
      <c r="N7" s="2">
        <v>2.3867406945037759</v>
      </c>
      <c r="O7" s="2">
        <v>1.0423062636921101</v>
      </c>
      <c r="P7" s="2">
        <v>1.5427583455246852</v>
      </c>
      <c r="Q7" s="2">
        <v>0.36221869863113471</v>
      </c>
      <c r="R7" s="2">
        <v>1.06210193988725</v>
      </c>
      <c r="S7" s="2">
        <v>2.0329646307874141</v>
      </c>
      <c r="T7" s="2">
        <v>2.0293836229513573</v>
      </c>
      <c r="U7" s="2">
        <v>0.33818507343920351</v>
      </c>
      <c r="V7" s="2">
        <v>0.94618939453279194</v>
      </c>
      <c r="W7" s="2">
        <v>2.0841789464396117</v>
      </c>
      <c r="X7" s="2"/>
    </row>
    <row r="8" spans="1:24" x14ac:dyDescent="0.3">
      <c r="A8">
        <v>15</v>
      </c>
      <c r="B8" s="2">
        <v>3.2173359503474908</v>
      </c>
      <c r="C8" s="2">
        <v>7.5280667999178199</v>
      </c>
      <c r="D8" s="2">
        <v>7.4025650603909998</v>
      </c>
      <c r="E8" s="2">
        <v>3.0174455943820551</v>
      </c>
      <c r="F8" s="2">
        <v>3.4019470012467443</v>
      </c>
      <c r="G8" s="2">
        <v>3.2398703590500721</v>
      </c>
      <c r="H8" s="2">
        <v>3.654035204867109</v>
      </c>
      <c r="I8" s="2">
        <v>6.0108339131299209</v>
      </c>
      <c r="J8" s="2">
        <v>13.753950602832747</v>
      </c>
      <c r="K8" s="2">
        <v>5.8640414638771627</v>
      </c>
      <c r="L8" s="2">
        <v>2.0787383413340357</v>
      </c>
      <c r="M8" s="2">
        <v>1.734328966629014</v>
      </c>
      <c r="N8" s="2">
        <v>3.4051709977332116</v>
      </c>
      <c r="O8" s="2">
        <v>2.4780357643705648</v>
      </c>
      <c r="P8" s="2">
        <v>2.2243649421465803</v>
      </c>
      <c r="Q8" s="2">
        <v>0.66043088023510632</v>
      </c>
      <c r="R8" s="2">
        <v>1.6752741938427609</v>
      </c>
      <c r="S8" s="2">
        <v>2.8155467144668456</v>
      </c>
      <c r="T8" s="2">
        <v>3.0803419858637842</v>
      </c>
      <c r="U8" s="2">
        <v>0.62332150790756125</v>
      </c>
      <c r="V8" s="2">
        <v>1.765489151719309</v>
      </c>
      <c r="W8" s="2">
        <v>4.9766169593223815</v>
      </c>
      <c r="X8" s="2"/>
    </row>
    <row r="9" spans="1:24" x14ac:dyDescent="0.3">
      <c r="A9">
        <v>20</v>
      </c>
      <c r="B9" s="2">
        <v>3.8432974378017257</v>
      </c>
      <c r="C9" s="2">
        <v>10.466441260530903</v>
      </c>
      <c r="D9" s="2">
        <v>9.8078279998339752</v>
      </c>
      <c r="E9" s="2">
        <v>4.1239826912751294</v>
      </c>
      <c r="F9" s="2">
        <v>4.8409772142497447</v>
      </c>
      <c r="G9" s="2">
        <v>4.6942941834580969</v>
      </c>
      <c r="H9" s="2">
        <v>4.6686327972845483</v>
      </c>
      <c r="I9" s="2">
        <v>7.818556803498681</v>
      </c>
      <c r="J9" s="2">
        <v>18.054882025384199</v>
      </c>
      <c r="K9" s="2">
        <v>8.4650148536755196</v>
      </c>
      <c r="L9" s="2">
        <v>2.6841961106546157</v>
      </c>
      <c r="M9" s="2">
        <v>2.162352461598338</v>
      </c>
      <c r="N9" s="2">
        <v>4.0983606557377312</v>
      </c>
      <c r="O9" s="2">
        <v>4.2389648193209526</v>
      </c>
      <c r="P9" s="2">
        <v>2.7364011171698612</v>
      </c>
      <c r="Q9" s="2">
        <v>0.8815443026926465</v>
      </c>
      <c r="R9" s="2">
        <v>2.1333284668869248</v>
      </c>
      <c r="S9" s="2">
        <v>3.3824450953817342</v>
      </c>
      <c r="T9" s="2">
        <v>3.8704898299330464</v>
      </c>
      <c r="U9" s="2">
        <v>0.82556944398393695</v>
      </c>
      <c r="V9" s="2">
        <v>2.285580010965794</v>
      </c>
      <c r="W9" s="2">
        <v>6.2595958704668035</v>
      </c>
      <c r="X9" s="2"/>
    </row>
    <row r="10" spans="1:24" x14ac:dyDescent="0.3">
      <c r="A10">
        <v>25</v>
      </c>
      <c r="B10" s="2">
        <v>4.8909872155323475</v>
      </c>
      <c r="C10" s="2">
        <v>14.275306820092313</v>
      </c>
      <c r="D10" s="2">
        <v>12.003486489851831</v>
      </c>
      <c r="E10" s="2">
        <v>5.78431475768841</v>
      </c>
      <c r="F10" s="2">
        <v>7.0426271253879751</v>
      </c>
      <c r="G10" s="2">
        <v>6.7427134635125361</v>
      </c>
      <c r="H10" s="2">
        <v>5.7592788381281084</v>
      </c>
      <c r="I10" s="2">
        <v>9.2560381671802006</v>
      </c>
      <c r="J10" s="2">
        <v>23.15847561077576</v>
      </c>
      <c r="K10" s="2">
        <v>11.372542822830438</v>
      </c>
      <c r="L10" s="2">
        <v>3.374706280903585</v>
      </c>
      <c r="M10" s="2">
        <v>2.6478163390094664</v>
      </c>
      <c r="N10" s="2">
        <v>4.9114622687999283</v>
      </c>
      <c r="O10" s="2">
        <v>7.5917798042738589</v>
      </c>
      <c r="P10" s="2">
        <v>3.3215853171964387</v>
      </c>
      <c r="Q10" s="2">
        <v>1.1390250643702129</v>
      </c>
      <c r="R10" s="2">
        <v>2.6844535284778428</v>
      </c>
      <c r="S10" s="2">
        <v>4.2408079394919973</v>
      </c>
      <c r="T10" s="2">
        <v>4.9662026605759886</v>
      </c>
      <c r="U10" s="2">
        <v>1.0825237889990527</v>
      </c>
      <c r="V10" s="2">
        <v>2.8025377927469592</v>
      </c>
      <c r="W10" s="2">
        <v>7.4684549545575161</v>
      </c>
      <c r="X10" s="2"/>
    </row>
    <row r="11" spans="1:24" x14ac:dyDescent="0.3">
      <c r="A11">
        <v>30</v>
      </c>
      <c r="B11" s="2">
        <v>6.0925149859424126</v>
      </c>
      <c r="C11" s="2">
        <v>17.815179422038742</v>
      </c>
      <c r="D11" s="2">
        <v>14.074627485161699</v>
      </c>
      <c r="E11" s="2">
        <v>7.2983017656162987</v>
      </c>
      <c r="F11" s="2">
        <v>9.2575399877981095</v>
      </c>
      <c r="G11" s="2">
        <v>8.5385405012629718</v>
      </c>
      <c r="H11" s="2">
        <v>6.7683119099289826</v>
      </c>
      <c r="I11" s="2">
        <v>10.170460192823791</v>
      </c>
      <c r="J11" s="2">
        <v>27.986154077691033</v>
      </c>
      <c r="K11" s="2">
        <v>14.190000632071326</v>
      </c>
      <c r="L11" s="2">
        <v>4.0882815090314297</v>
      </c>
      <c r="M11" s="2">
        <v>3.0962219051677877</v>
      </c>
      <c r="N11" s="2">
        <v>5.6309339991458653</v>
      </c>
      <c r="O11" s="2">
        <v>10.956723443931518</v>
      </c>
      <c r="P11" s="2">
        <v>3.8652081393802749</v>
      </c>
      <c r="Q11" s="2">
        <v>1.3790495032221655</v>
      </c>
      <c r="R11" s="2">
        <v>3.1917805719291219</v>
      </c>
      <c r="S11" s="2">
        <v>5.1414331307655274</v>
      </c>
      <c r="T11" s="2">
        <v>5.9801228432976679</v>
      </c>
      <c r="U11" s="2">
        <v>1.3229004343357345</v>
      </c>
      <c r="V11" s="2">
        <v>3.2881647998746959</v>
      </c>
      <c r="W11" s="2">
        <v>8.6314303361863942</v>
      </c>
      <c r="X11" s="2"/>
    </row>
    <row r="12" spans="1:24" x14ac:dyDescent="0.3">
      <c r="A12">
        <v>35</v>
      </c>
      <c r="B12" s="2">
        <v>7.6587448941701011</v>
      </c>
      <c r="C12" s="2">
        <v>22.544972260101254</v>
      </c>
      <c r="D12" s="2">
        <v>16.189349603619331</v>
      </c>
      <c r="E12" s="2">
        <v>8.8986218296291071</v>
      </c>
      <c r="F12" s="2">
        <v>12.070611952571701</v>
      </c>
      <c r="G12" s="2">
        <v>10.408184450006358</v>
      </c>
      <c r="H12" s="2">
        <v>7.7996030641960532</v>
      </c>
      <c r="I12" s="2">
        <v>10.956912831726475</v>
      </c>
      <c r="J12" s="2">
        <v>34.146586177488679</v>
      </c>
      <c r="K12" s="2">
        <v>18.633461854497199</v>
      </c>
      <c r="L12" s="2">
        <v>4.7614928858712222</v>
      </c>
      <c r="M12" s="2">
        <v>3.5705682892030994</v>
      </c>
      <c r="N12" s="2">
        <v>6.3832583199185651</v>
      </c>
      <c r="O12" s="2">
        <v>15.33819995603362</v>
      </c>
      <c r="P12" s="2">
        <v>4.4603670700891147</v>
      </c>
      <c r="Q12" s="2">
        <v>1.6365302648997155</v>
      </c>
      <c r="R12" s="2">
        <v>3.7319561289851921</v>
      </c>
      <c r="S12" s="2">
        <v>6.2140223553243237</v>
      </c>
      <c r="T12" s="2">
        <v>7.0742924164326446</v>
      </c>
      <c r="U12" s="2">
        <v>1.583170319286507</v>
      </c>
      <c r="V12" s="2">
        <v>3.7972898879924997</v>
      </c>
      <c r="W12" s="2">
        <v>9.8155828112591976</v>
      </c>
      <c r="X12" s="2"/>
    </row>
    <row r="13" spans="1:24" x14ac:dyDescent="0.3">
      <c r="A13">
        <v>40</v>
      </c>
      <c r="B13" s="2">
        <v>9.2766961964882864</v>
      </c>
      <c r="C13" s="2">
        <v>26.846991575290033</v>
      </c>
      <c r="D13" s="2">
        <v>18.299921138920034</v>
      </c>
      <c r="E13" s="2">
        <v>10.255735357597844</v>
      </c>
      <c r="F13" s="2">
        <v>15.349213506989592</v>
      </c>
      <c r="G13" s="2">
        <v>12.034463270319852</v>
      </c>
      <c r="H13" s="2">
        <v>8.8067812957914136</v>
      </c>
      <c r="I13" s="2">
        <v>11.706092833714374</v>
      </c>
      <c r="J13" s="2">
        <v>40.693299443153151</v>
      </c>
      <c r="K13" s="2">
        <v>23.038998799064561</v>
      </c>
      <c r="L13" s="2">
        <v>5.4188470354193168</v>
      </c>
      <c r="M13" s="2">
        <v>4.0041505308603531</v>
      </c>
      <c r="N13" s="2">
        <v>7.0468806465389946</v>
      </c>
      <c r="O13" s="2">
        <v>19.26030367119218</v>
      </c>
      <c r="P13" s="2">
        <v>5.0206144434100546</v>
      </c>
      <c r="Q13" s="2">
        <v>1.8780093973204666</v>
      </c>
      <c r="R13" s="2">
        <v>4.2173841633666518</v>
      </c>
      <c r="S13" s="2">
        <v>7.2443492327198209</v>
      </c>
      <c r="T13" s="2">
        <v>8.1051884317417713</v>
      </c>
      <c r="U13" s="2">
        <v>1.8235469646232076</v>
      </c>
      <c r="V13" s="2">
        <v>4.309548053575659</v>
      </c>
      <c r="W13" s="2">
        <v>11.010323833053953</v>
      </c>
      <c r="X13" s="2"/>
    </row>
    <row r="14" spans="1:24" x14ac:dyDescent="0.3">
      <c r="A14">
        <v>45</v>
      </c>
      <c r="B14" s="2">
        <v>11.301787703570122</v>
      </c>
      <c r="C14" s="2">
        <v>31.00704238507091</v>
      </c>
      <c r="D14" s="2">
        <v>20.690657037313748</v>
      </c>
      <c r="E14" s="2">
        <v>11.639169939251005</v>
      </c>
      <c r="F14" s="2">
        <v>19.56417942120482</v>
      </c>
      <c r="G14" s="2">
        <v>13.735712390860574</v>
      </c>
      <c r="H14" s="2">
        <v>9.9345241407452853</v>
      </c>
      <c r="I14" s="2">
        <v>12.714938872875479</v>
      </c>
      <c r="J14" s="2">
        <v>46.484172505476501</v>
      </c>
      <c r="K14" s="2">
        <v>28.459010176347913</v>
      </c>
      <c r="L14" s="2">
        <v>6.1929680404791814</v>
      </c>
      <c r="M14" s="2">
        <v>4.4822027460208949</v>
      </c>
      <c r="N14" s="2">
        <v>7.823844410131775</v>
      </c>
      <c r="O14" s="2">
        <v>23.587201237122784</v>
      </c>
      <c r="P14" s="2">
        <v>5.7138582258279413</v>
      </c>
      <c r="Q14" s="2">
        <v>2.2911423708595953</v>
      </c>
      <c r="R14" s="2">
        <v>4.7356607113528399</v>
      </c>
      <c r="S14" s="2">
        <v>8.4218656640289229</v>
      </c>
      <c r="T14" s="2">
        <v>9.4200438285132542</v>
      </c>
      <c r="U14" s="2">
        <v>2.2147806770332572</v>
      </c>
      <c r="V14" s="2">
        <v>4.9142320043863448</v>
      </c>
      <c r="W14" s="2">
        <v>12.409776758139975</v>
      </c>
      <c r="X14" s="2"/>
    </row>
    <row r="15" spans="1:24" x14ac:dyDescent="0.3">
      <c r="A15">
        <v>50</v>
      </c>
      <c r="B15" s="2">
        <v>14.233992891623823</v>
      </c>
      <c r="C15" s="2">
        <v>35.394990006164448</v>
      </c>
      <c r="D15" s="2">
        <v>23.344954966172772</v>
      </c>
      <c r="E15" s="2">
        <v>13.105779050546978</v>
      </c>
      <c r="F15" s="2">
        <v>24.978116130401357</v>
      </c>
      <c r="G15" s="2">
        <v>15.543073320953635</v>
      </c>
      <c r="H15" s="2">
        <v>11.164283197002609</v>
      </c>
      <c r="I15" s="2">
        <v>14.444389225723103</v>
      </c>
      <c r="J15" s="2">
        <v>52.425544723332408</v>
      </c>
      <c r="K15" s="2">
        <v>35.179508248530446</v>
      </c>
      <c r="L15" s="2">
        <v>6.9887125373005254</v>
      </c>
      <c r="M15" s="2">
        <v>5.0362244992495802</v>
      </c>
      <c r="N15" s="2">
        <v>8.7585006077729499</v>
      </c>
      <c r="O15" s="2">
        <v>29.089820268498091</v>
      </c>
      <c r="P15" s="2">
        <v>6.548410692911327</v>
      </c>
      <c r="Q15" s="2">
        <v>3.0141250745530495</v>
      </c>
      <c r="R15" s="2">
        <v>5.3579575524207756</v>
      </c>
      <c r="S15" s="2">
        <v>10.113816872877802</v>
      </c>
      <c r="T15" s="2">
        <v>11.086761937096881</v>
      </c>
      <c r="U15" s="2">
        <v>2.9508305427538799</v>
      </c>
      <c r="V15" s="2">
        <v>5.5815775045038158</v>
      </c>
      <c r="W15" s="2">
        <v>13.987470219712364</v>
      </c>
      <c r="X15" s="2"/>
    </row>
    <row r="17" spans="1:3" x14ac:dyDescent="0.3">
      <c r="A17" s="14" t="s">
        <v>153</v>
      </c>
      <c r="B17" s="4">
        <v>1E-3</v>
      </c>
    </row>
    <row r="18" spans="1:3" x14ac:dyDescent="0.3">
      <c r="A18" s="14"/>
    </row>
    <row r="19" spans="1:3" x14ac:dyDescent="0.3">
      <c r="A19" s="14" t="s">
        <v>154</v>
      </c>
      <c r="B19">
        <v>0.01</v>
      </c>
    </row>
    <row r="20" spans="1:3" x14ac:dyDescent="0.3">
      <c r="A20" s="14"/>
    </row>
    <row r="22" spans="1:3" x14ac:dyDescent="0.3">
      <c r="A22" t="s">
        <v>155</v>
      </c>
      <c r="B22" s="15" t="s">
        <v>159</v>
      </c>
      <c r="C22" s="15"/>
    </row>
    <row r="23" spans="1:3" x14ac:dyDescent="0.3">
      <c r="A23" t="s">
        <v>157</v>
      </c>
      <c r="B23">
        <v>20</v>
      </c>
    </row>
    <row r="26" spans="1:3" ht="14.4" customHeight="1" x14ac:dyDescent="0.3"/>
    <row r="27" spans="1:3" ht="14.4" customHeight="1" x14ac:dyDescent="0.3">
      <c r="B27" s="9"/>
    </row>
    <row r="28" spans="1:3" ht="18" customHeight="1" x14ac:dyDescent="0.3">
      <c r="B28" s="9"/>
    </row>
    <row r="29" spans="1:3" ht="18" customHeight="1" x14ac:dyDescent="0.3">
      <c r="B29" s="9"/>
    </row>
    <row r="30" spans="1:3" ht="18" customHeight="1" x14ac:dyDescent="0.3">
      <c r="B30" s="9"/>
    </row>
    <row r="31" spans="1:3" ht="18" customHeight="1" x14ac:dyDescent="0.3">
      <c r="B31" s="9"/>
    </row>
    <row r="32" spans="1:3" ht="18" customHeight="1" x14ac:dyDescent="0.3">
      <c r="B32" s="9"/>
    </row>
    <row r="33" spans="2:2" ht="18" customHeight="1" x14ac:dyDescent="0.3">
      <c r="B33" s="9"/>
    </row>
    <row r="34" spans="2:2" ht="18" customHeight="1" x14ac:dyDescent="0.3">
      <c r="B34" s="9"/>
    </row>
    <row r="35" spans="2:2" ht="18" customHeight="1" x14ac:dyDescent="0.3">
      <c r="B35" s="9"/>
    </row>
  </sheetData>
  <mergeCells count="3">
    <mergeCell ref="A17:A18"/>
    <mergeCell ref="A19:A20"/>
    <mergeCell ref="B22:C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6870-32DE-4C0D-930F-983EFCF19961}">
  <dimension ref="A1:X35"/>
  <sheetViews>
    <sheetView zoomScale="92" workbookViewId="0">
      <selection activeCell="G21" sqref="G21"/>
    </sheetView>
  </sheetViews>
  <sheetFormatPr defaultRowHeight="14.4" x14ac:dyDescent="0.3"/>
  <cols>
    <col min="1" max="1" width="15.33203125" bestFit="1" customWidth="1"/>
    <col min="2" max="2" width="11" bestFit="1" customWidth="1"/>
  </cols>
  <sheetData>
    <row r="1" spans="1:24" x14ac:dyDescent="0.3"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  <c r="G1" s="3" t="s">
        <v>132</v>
      </c>
      <c r="H1" s="3" t="s">
        <v>133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140</v>
      </c>
      <c r="P1" s="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  <c r="V1" s="3" t="s">
        <v>147</v>
      </c>
      <c r="W1" s="3" t="s">
        <v>148</v>
      </c>
      <c r="X1" s="3" t="s">
        <v>149</v>
      </c>
    </row>
    <row r="2" spans="1:24" x14ac:dyDescent="0.3">
      <c r="A2" t="s">
        <v>150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s="3"/>
      <c r="V2" s="3"/>
      <c r="W2" s="3"/>
      <c r="X2" s="3"/>
    </row>
    <row r="3" spans="1:24" x14ac:dyDescent="0.3">
      <c r="A3" t="s">
        <v>151</v>
      </c>
      <c r="B3">
        <v>633.26</v>
      </c>
      <c r="C3">
        <v>603.96</v>
      </c>
      <c r="D3">
        <v>502.65</v>
      </c>
      <c r="E3">
        <v>600.38</v>
      </c>
      <c r="F3">
        <v>483.19</v>
      </c>
      <c r="G3">
        <v>555.6</v>
      </c>
      <c r="H3">
        <v>573.21</v>
      </c>
      <c r="I3">
        <v>579.65</v>
      </c>
      <c r="J3">
        <v>543.80999999999995</v>
      </c>
      <c r="K3">
        <v>730.14</v>
      </c>
      <c r="L3">
        <v>446.17</v>
      </c>
      <c r="M3">
        <v>586.95000000000005</v>
      </c>
      <c r="N3">
        <v>747.96</v>
      </c>
      <c r="O3">
        <v>528.71</v>
      </c>
      <c r="P3">
        <v>490.44</v>
      </c>
      <c r="Q3">
        <v>529.63</v>
      </c>
      <c r="R3">
        <v>925.18</v>
      </c>
      <c r="S3">
        <v>472.42</v>
      </c>
      <c r="T3">
        <v>857.96</v>
      </c>
    </row>
    <row r="4" spans="1:24" x14ac:dyDescent="0.3">
      <c r="A4" s="3" t="s">
        <v>0</v>
      </c>
      <c r="B4" s="3" t="s">
        <v>152</v>
      </c>
      <c r="C4" s="3" t="s">
        <v>152</v>
      </c>
      <c r="D4" s="3" t="s">
        <v>152</v>
      </c>
      <c r="E4" s="3" t="s">
        <v>152</v>
      </c>
      <c r="F4" s="3" t="s">
        <v>152</v>
      </c>
      <c r="G4" s="3" t="s">
        <v>152</v>
      </c>
      <c r="H4" s="3" t="s">
        <v>152</v>
      </c>
      <c r="I4" s="3" t="s">
        <v>152</v>
      </c>
      <c r="J4" s="3" t="s">
        <v>152</v>
      </c>
      <c r="K4" s="3" t="s">
        <v>152</v>
      </c>
      <c r="L4" s="3" t="s">
        <v>152</v>
      </c>
      <c r="M4" s="3" t="s">
        <v>152</v>
      </c>
      <c r="N4" s="3" t="s">
        <v>152</v>
      </c>
      <c r="O4" s="3" t="s">
        <v>152</v>
      </c>
      <c r="P4" s="3" t="s">
        <v>152</v>
      </c>
      <c r="Q4" s="3" t="s">
        <v>152</v>
      </c>
      <c r="R4" s="3" t="s">
        <v>152</v>
      </c>
      <c r="S4" s="3" t="s">
        <v>152</v>
      </c>
      <c r="T4" s="3" t="s">
        <v>152</v>
      </c>
      <c r="U4" s="3" t="s">
        <v>152</v>
      </c>
      <c r="V4" s="3" t="s">
        <v>152</v>
      </c>
      <c r="W4" s="3" t="s">
        <v>152</v>
      </c>
      <c r="X4" s="3" t="s">
        <v>152</v>
      </c>
    </row>
    <row r="5" spans="1:24" x14ac:dyDescent="0.3">
      <c r="A5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/>
      <c r="V5" s="1"/>
      <c r="W5" s="1"/>
      <c r="X5" s="1"/>
    </row>
    <row r="6" spans="1:24" x14ac:dyDescent="0.3">
      <c r="A6">
        <v>5</v>
      </c>
      <c r="B6" s="2">
        <v>0.54795818463190904</v>
      </c>
      <c r="C6" s="2">
        <v>0.76991853765151508</v>
      </c>
      <c r="D6" s="2">
        <v>1.9138565602308004</v>
      </c>
      <c r="E6" s="2">
        <v>1.6889303441154102</v>
      </c>
      <c r="F6" s="2">
        <v>2.8995712776713728E-2</v>
      </c>
      <c r="G6" s="2">
        <v>0.50755939524840954</v>
      </c>
      <c r="H6" s="2">
        <v>1.0083564487709715</v>
      </c>
      <c r="I6" s="2">
        <v>0.67627016302940723</v>
      </c>
      <c r="J6" s="2">
        <v>1.1750427539030361</v>
      </c>
      <c r="K6" s="2">
        <v>0.6765825732051618</v>
      </c>
      <c r="L6" s="2">
        <v>3.3670789467748409E-2</v>
      </c>
      <c r="M6" s="2">
        <v>0.26748445353099304</v>
      </c>
      <c r="N6" s="2">
        <v>0.37568853949411368</v>
      </c>
      <c r="O6" s="2">
        <v>0.23264171284825672</v>
      </c>
      <c r="P6" s="2">
        <v>0.32827664953921526</v>
      </c>
      <c r="Q6" s="2">
        <v>0.3002095802730268</v>
      </c>
      <c r="R6" s="2">
        <v>0.30048206835428781</v>
      </c>
      <c r="S6" s="2">
        <v>0.19474196689390508</v>
      </c>
      <c r="T6" s="2">
        <v>0.4767122010350302</v>
      </c>
      <c r="U6" s="2"/>
      <c r="V6" s="2"/>
      <c r="W6" s="2"/>
      <c r="X6" s="2"/>
    </row>
    <row r="7" spans="1:24" x14ac:dyDescent="0.3">
      <c r="A7">
        <v>10</v>
      </c>
      <c r="B7" s="2">
        <v>1.9202223415342958</v>
      </c>
      <c r="C7" s="2">
        <v>1.8627061394794355</v>
      </c>
      <c r="D7" s="2">
        <v>5.6023077688252432</v>
      </c>
      <c r="E7" s="2">
        <v>5.0234851260868068</v>
      </c>
      <c r="F7" s="2">
        <v>0.5633452768054662</v>
      </c>
      <c r="G7" s="2">
        <v>1.4938804895608473</v>
      </c>
      <c r="H7" s="2">
        <v>4.2445177160203338</v>
      </c>
      <c r="I7" s="2">
        <v>1.8442163374450193</v>
      </c>
      <c r="J7" s="2">
        <v>4.610066015704045</v>
      </c>
      <c r="K7" s="2">
        <v>1.8311556687758674</v>
      </c>
      <c r="L7" s="2">
        <v>1.1762329120743247</v>
      </c>
      <c r="M7" s="2">
        <v>0.82289803220038404</v>
      </c>
      <c r="N7" s="2">
        <v>0.92250922509229338</v>
      </c>
      <c r="O7" s="2">
        <v>0.76223260388496528</v>
      </c>
      <c r="P7" s="2">
        <v>1.133675882880679</v>
      </c>
      <c r="Q7" s="2">
        <v>0.84964975548968147</v>
      </c>
      <c r="R7" s="2">
        <v>0.87982879007330617</v>
      </c>
      <c r="S7" s="2">
        <v>0.73239913636174381</v>
      </c>
      <c r="T7" s="2">
        <v>1.4184810480675174</v>
      </c>
      <c r="U7" s="2"/>
      <c r="V7" s="2"/>
      <c r="W7" s="2"/>
      <c r="X7" s="2"/>
    </row>
    <row r="8" spans="1:24" x14ac:dyDescent="0.3">
      <c r="A8">
        <v>15</v>
      </c>
      <c r="B8" s="2">
        <v>3.9494046679089325</v>
      </c>
      <c r="C8" s="2">
        <v>2.8064772501490238</v>
      </c>
      <c r="D8" s="2">
        <v>10.229782154580759</v>
      </c>
      <c r="E8" s="2">
        <v>9.4456843998800828</v>
      </c>
      <c r="F8" s="2">
        <v>1.2737402398359412</v>
      </c>
      <c r="G8" s="2">
        <v>2.402807775377974</v>
      </c>
      <c r="H8" s="2">
        <v>7.7824880933689631</v>
      </c>
      <c r="I8" s="2">
        <v>2.8913999827482284</v>
      </c>
      <c r="J8" s="2">
        <v>8.3632150935069483</v>
      </c>
      <c r="K8" s="2">
        <v>2.8131591201687454</v>
      </c>
      <c r="L8" s="2">
        <v>4.6667714202338679</v>
      </c>
      <c r="M8" s="2">
        <v>1.3135701507794786</v>
      </c>
      <c r="N8" s="2">
        <v>1.4131771752500353</v>
      </c>
      <c r="O8" s="2">
        <v>1.2521041780938518</v>
      </c>
      <c r="P8" s="2">
        <v>2.2061822037354313</v>
      </c>
      <c r="Q8" s="2">
        <v>1.536922002152465</v>
      </c>
      <c r="R8" s="2">
        <v>1.1316716747011546</v>
      </c>
      <c r="S8" s="2">
        <v>1.2298378561449561</v>
      </c>
      <c r="T8" s="2">
        <v>2.4523287798964941</v>
      </c>
      <c r="U8" s="2"/>
      <c r="V8" s="2"/>
      <c r="W8" s="2"/>
      <c r="X8" s="2"/>
    </row>
    <row r="9" spans="1:24" x14ac:dyDescent="0.3">
      <c r="A9">
        <v>20</v>
      </c>
      <c r="B9" s="2">
        <v>5.6106496541704782</v>
      </c>
      <c r="C9" s="2">
        <v>3.7519040996092778</v>
      </c>
      <c r="D9" s="2">
        <v>13.39500646573163</v>
      </c>
      <c r="E9" s="2">
        <v>12.820213864552455</v>
      </c>
      <c r="F9" s="2">
        <v>1.8557256177122079</v>
      </c>
      <c r="G9" s="2">
        <v>3.1839452843772595</v>
      </c>
      <c r="H9" s="2">
        <v>10.338270441897404</v>
      </c>
      <c r="I9" s="2">
        <v>3.9661864918485508</v>
      </c>
      <c r="J9" s="2">
        <v>10.96706570309485</v>
      </c>
      <c r="K9" s="2">
        <v>3.7239433533295059</v>
      </c>
      <c r="L9" s="2">
        <v>5.9889110866686179</v>
      </c>
      <c r="M9" s="2">
        <v>1.7480194224380254</v>
      </c>
      <c r="N9" s="2">
        <v>1.9051820952992442</v>
      </c>
      <c r="O9" s="2">
        <v>1.7230617919086317</v>
      </c>
      <c r="P9" s="2">
        <v>3.4805480792757741</v>
      </c>
      <c r="Q9" s="2">
        <v>1.965523101032812</v>
      </c>
      <c r="R9" s="2">
        <v>2.0352796212629185</v>
      </c>
      <c r="S9" s="2">
        <v>1.6722408026756166</v>
      </c>
      <c r="T9" s="2">
        <v>3.4745209566879773</v>
      </c>
      <c r="U9" s="2"/>
      <c r="V9" s="2"/>
      <c r="W9" s="2"/>
      <c r="X9" s="2"/>
    </row>
    <row r="10" spans="1:24" x14ac:dyDescent="0.3">
      <c r="A10">
        <v>25</v>
      </c>
      <c r="B10" s="2">
        <v>7.2071503016138871</v>
      </c>
      <c r="C10" s="2">
        <v>5.0450360951056403</v>
      </c>
      <c r="D10" s="2">
        <v>16.048940614741905</v>
      </c>
      <c r="E10" s="2">
        <v>16.281355141743564</v>
      </c>
      <c r="F10" s="2">
        <v>2.5143425222127482</v>
      </c>
      <c r="G10" s="2">
        <v>4.152267818574523</v>
      </c>
      <c r="H10" s="2">
        <v>12.935922262347148</v>
      </c>
      <c r="I10" s="2">
        <v>5.3601311136030256</v>
      </c>
      <c r="J10" s="2">
        <v>13.181074272264246</v>
      </c>
      <c r="K10" s="2">
        <v>5.0866957021941293</v>
      </c>
      <c r="L10" s="2">
        <v>7.299827156614036</v>
      </c>
      <c r="M10" s="2">
        <v>2.245506431552954</v>
      </c>
      <c r="N10" s="2">
        <v>2.395850045456986</v>
      </c>
      <c r="O10" s="2">
        <v>2.2053677819598585</v>
      </c>
      <c r="P10" s="2">
        <v>5.2993230568469034</v>
      </c>
      <c r="Q10" s="2">
        <v>2.6018163623662178</v>
      </c>
      <c r="R10" s="2">
        <v>4.8660801141399741</v>
      </c>
      <c r="S10" s="2">
        <v>2.1590957199102832</v>
      </c>
      <c r="T10" s="2">
        <v>5.8534197398480279</v>
      </c>
      <c r="U10" s="2"/>
      <c r="V10" s="2"/>
      <c r="W10" s="2"/>
      <c r="X10" s="2"/>
    </row>
    <row r="11" spans="1:24" x14ac:dyDescent="0.3">
      <c r="A11">
        <v>30</v>
      </c>
      <c r="B11" s="2">
        <v>8.2035814673278225</v>
      </c>
      <c r="C11" s="2">
        <v>6.0600039737731013</v>
      </c>
      <c r="D11" s="2">
        <v>19.649855764448468</v>
      </c>
      <c r="E11" s="2">
        <v>19.849095572803904</v>
      </c>
      <c r="F11" s="2">
        <v>3.0839011660418452</v>
      </c>
      <c r="G11" s="2">
        <v>4.8506119510439243</v>
      </c>
      <c r="H11" s="2">
        <v>16.158127038956074</v>
      </c>
      <c r="I11" s="2">
        <v>6.5298024670059363</v>
      </c>
      <c r="J11" s="2">
        <v>16.353138044537648</v>
      </c>
      <c r="K11" s="2">
        <v>6.1741583805845508</v>
      </c>
      <c r="L11" s="2">
        <v>8.5478910862196411</v>
      </c>
      <c r="M11" s="2">
        <v>2.6612147542380105</v>
      </c>
      <c r="N11" s="2">
        <v>2.8049628322370355</v>
      </c>
      <c r="O11" s="2">
        <v>2.6101265343950284</v>
      </c>
      <c r="P11" s="2">
        <v>6.981486012560163</v>
      </c>
      <c r="Q11" s="2">
        <v>3.0417461246530837</v>
      </c>
      <c r="R11" s="2">
        <v>7.2969584297109877</v>
      </c>
      <c r="S11" s="2">
        <v>2.582447821853469</v>
      </c>
      <c r="T11" s="2">
        <v>7.8465196512657993</v>
      </c>
      <c r="U11" s="2"/>
      <c r="V11" s="2"/>
      <c r="W11" s="2"/>
      <c r="X11" s="2"/>
    </row>
    <row r="12" spans="1:24" x14ac:dyDescent="0.3">
      <c r="A12">
        <v>35</v>
      </c>
      <c r="B12" s="2">
        <v>9.132110033793392</v>
      </c>
      <c r="C12" s="2">
        <v>7.2372342539241243</v>
      </c>
      <c r="D12" s="2">
        <v>24.69710534168907</v>
      </c>
      <c r="E12" s="2">
        <v>24.394550118258444</v>
      </c>
      <c r="F12" s="2">
        <v>3.6886688896712867</v>
      </c>
      <c r="G12" s="2">
        <v>5.5795536357091429</v>
      </c>
      <c r="H12" s="2">
        <v>20.3049493204934</v>
      </c>
      <c r="I12" s="2">
        <v>7.928922625722425</v>
      </c>
      <c r="J12" s="2">
        <v>20.827127121604995</v>
      </c>
      <c r="K12" s="2">
        <v>7.4848659161256874</v>
      </c>
      <c r="L12" s="2">
        <v>9.8677860333565253</v>
      </c>
      <c r="M12" s="2">
        <v>3.1092938069682448</v>
      </c>
      <c r="N12" s="2">
        <v>3.2354671372800894</v>
      </c>
      <c r="O12" s="2">
        <v>3.0508218115791683</v>
      </c>
      <c r="P12" s="2">
        <v>9.2529157491232237</v>
      </c>
      <c r="Q12" s="2">
        <v>3.4911164397787369</v>
      </c>
      <c r="R12" s="2">
        <v>10.081281480360589</v>
      </c>
      <c r="S12" s="2">
        <v>3.0206172473646653</v>
      </c>
      <c r="T12" s="2">
        <v>10.127511772110585</v>
      </c>
      <c r="U12" s="2"/>
      <c r="V12" s="2"/>
      <c r="W12" s="2"/>
      <c r="X12" s="2"/>
    </row>
    <row r="13" spans="1:24" x14ac:dyDescent="0.3">
      <c r="A13">
        <v>40</v>
      </c>
      <c r="B13" s="2">
        <v>10.09695859520577</v>
      </c>
      <c r="C13" s="2">
        <v>8.4707596529571632</v>
      </c>
      <c r="D13" s="2">
        <v>28.886899433005109</v>
      </c>
      <c r="E13" s="2">
        <v>28.352043705653092</v>
      </c>
      <c r="F13" s="2">
        <v>4.3100055920303184</v>
      </c>
      <c r="G13" s="2">
        <v>6.358891288696932</v>
      </c>
      <c r="H13" s="2">
        <v>23.825474084541487</v>
      </c>
      <c r="I13" s="2">
        <v>9.4056758388682979</v>
      </c>
      <c r="J13" s="2">
        <v>24.479137934204985</v>
      </c>
      <c r="K13" s="2">
        <v>8.8695318706001895</v>
      </c>
      <c r="L13" s="2">
        <v>11.25277784013109</v>
      </c>
      <c r="M13" s="2">
        <v>3.5471505238947181</v>
      </c>
      <c r="N13" s="2">
        <v>3.6632975025402699</v>
      </c>
      <c r="O13" s="2">
        <v>3.4763859204478815</v>
      </c>
      <c r="P13" s="2">
        <v>11.705815186363248</v>
      </c>
      <c r="Q13" s="2">
        <v>3.9555916394464146</v>
      </c>
      <c r="R13" s="2">
        <v>12.863442789511291</v>
      </c>
      <c r="S13" s="2">
        <v>3.4503196308369937</v>
      </c>
      <c r="T13" s="2">
        <v>12.474940556669305</v>
      </c>
      <c r="U13" s="2"/>
      <c r="V13" s="2"/>
      <c r="W13" s="2"/>
      <c r="X13" s="2"/>
    </row>
    <row r="14" spans="1:24" x14ac:dyDescent="0.3">
      <c r="A14">
        <v>45</v>
      </c>
      <c r="B14" s="2">
        <v>11.361841897482892</v>
      </c>
      <c r="C14" s="2">
        <v>10.138088615140097</v>
      </c>
      <c r="D14" s="2">
        <v>33.034914950761006</v>
      </c>
      <c r="E14" s="2">
        <v>32.586028848396033</v>
      </c>
      <c r="F14" s="2">
        <v>4.9996893316487832</v>
      </c>
      <c r="G14" s="2">
        <v>7.3380129589632999</v>
      </c>
      <c r="H14" s="2">
        <v>27.516965858934793</v>
      </c>
      <c r="I14" s="2">
        <v>11.222289312516187</v>
      </c>
      <c r="J14" s="2">
        <v>28.068626910134078</v>
      </c>
      <c r="K14" s="2">
        <v>10.655490727805637</v>
      </c>
      <c r="L14" s="2">
        <v>12.821836629329461</v>
      </c>
      <c r="M14" s="2">
        <v>4.0582673140812568</v>
      </c>
      <c r="N14" s="2">
        <v>4.1499545430237008</v>
      </c>
      <c r="O14" s="2">
        <v>3.9662574946568325</v>
      </c>
      <c r="P14" s="2">
        <v>14.464562433732974</v>
      </c>
      <c r="Q14" s="2">
        <v>4.4842625984178062</v>
      </c>
      <c r="R14" s="2">
        <v>16.572991201712103</v>
      </c>
      <c r="S14" s="2">
        <v>3.9477583506202061</v>
      </c>
      <c r="T14" s="2">
        <v>15.781621520816843</v>
      </c>
      <c r="U14" s="2"/>
      <c r="V14" s="2"/>
      <c r="W14" s="2"/>
      <c r="X14" s="2"/>
    </row>
    <row r="15" spans="1:24" x14ac:dyDescent="0.3">
      <c r="A15">
        <v>50</v>
      </c>
      <c r="B15" s="2">
        <v>13.152575561380804</v>
      </c>
      <c r="C15" s="2">
        <v>12.444532750513291</v>
      </c>
      <c r="D15" s="2">
        <v>37.614642395304941</v>
      </c>
      <c r="E15" s="2">
        <v>37.221426429927739</v>
      </c>
      <c r="F15" s="2">
        <v>5.7908580659859519</v>
      </c>
      <c r="G15" s="2">
        <v>8.452123830093619</v>
      </c>
      <c r="H15" s="2">
        <v>31.644597965841506</v>
      </c>
      <c r="I15" s="2">
        <v>13.603036315017707</v>
      </c>
      <c r="J15" s="2">
        <v>32.02956915099027</v>
      </c>
      <c r="K15" s="2">
        <v>13.085161749801433</v>
      </c>
      <c r="L15" s="2">
        <v>14.640059260589421</v>
      </c>
      <c r="M15" s="2">
        <v>4.6716074623051487</v>
      </c>
      <c r="N15" s="2">
        <v>4.7141558372105754</v>
      </c>
      <c r="O15" s="2">
        <v>4.520436534205893</v>
      </c>
      <c r="P15" s="2">
        <v>17.347687790555415</v>
      </c>
      <c r="Q15" s="2">
        <v>5.1243320808866972</v>
      </c>
      <c r="R15" s="2">
        <v>21.843316976156022</v>
      </c>
      <c r="S15" s="2">
        <v>4.510816646204673</v>
      </c>
      <c r="T15" s="2">
        <v>20.652477971000987</v>
      </c>
      <c r="U15" s="2"/>
      <c r="V15" s="2"/>
      <c r="W15" s="2"/>
      <c r="X15" s="2"/>
    </row>
    <row r="17" spans="1:3" x14ac:dyDescent="0.3">
      <c r="A17" s="14" t="s">
        <v>153</v>
      </c>
      <c r="B17" s="4">
        <v>1E-3</v>
      </c>
    </row>
    <row r="18" spans="1:3" x14ac:dyDescent="0.3">
      <c r="A18" s="14"/>
    </row>
    <row r="19" spans="1:3" x14ac:dyDescent="0.3">
      <c r="A19" s="14" t="s">
        <v>154</v>
      </c>
      <c r="B19">
        <v>0.01</v>
      </c>
    </row>
    <row r="20" spans="1:3" x14ac:dyDescent="0.3">
      <c r="A20" s="14"/>
    </row>
    <row r="22" spans="1:3" x14ac:dyDescent="0.3">
      <c r="A22" t="s">
        <v>155</v>
      </c>
      <c r="B22" s="15" t="s">
        <v>160</v>
      </c>
      <c r="C22" s="15"/>
    </row>
    <row r="23" spans="1:3" x14ac:dyDescent="0.3">
      <c r="A23" t="s">
        <v>157</v>
      </c>
      <c r="B23">
        <v>20</v>
      </c>
    </row>
    <row r="26" spans="1:3" ht="14.4" customHeight="1" x14ac:dyDescent="0.3"/>
    <row r="27" spans="1:3" ht="14.4" customHeight="1" x14ac:dyDescent="0.3">
      <c r="B27" s="9"/>
    </row>
    <row r="28" spans="1:3" x14ac:dyDescent="0.3">
      <c r="B28" s="9"/>
    </row>
    <row r="29" spans="1:3" x14ac:dyDescent="0.3">
      <c r="B29" s="9"/>
    </row>
    <row r="30" spans="1:3" x14ac:dyDescent="0.3">
      <c r="B30" s="9"/>
    </row>
    <row r="31" spans="1:3" x14ac:dyDescent="0.3">
      <c r="B31" s="9"/>
    </row>
    <row r="32" spans="1:3" x14ac:dyDescent="0.3">
      <c r="B32" s="9"/>
    </row>
    <row r="33" spans="2:2" x14ac:dyDescent="0.3">
      <c r="B33" s="9"/>
    </row>
    <row r="34" spans="2:2" x14ac:dyDescent="0.3">
      <c r="B34" s="9"/>
    </row>
    <row r="35" spans="2:2" x14ac:dyDescent="0.3">
      <c r="B35" s="9"/>
    </row>
  </sheetData>
  <mergeCells count="3">
    <mergeCell ref="A17:A18"/>
    <mergeCell ref="A19:A20"/>
    <mergeCell ref="B22:C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1CAF-ABEB-43F8-836A-F81CF9F55D5A}">
  <dimension ref="A1:X19"/>
  <sheetViews>
    <sheetView workbookViewId="0">
      <selection activeCell="A3" sqref="A3:XFD8"/>
    </sheetView>
  </sheetViews>
  <sheetFormatPr defaultRowHeight="14.4" x14ac:dyDescent="0.3"/>
  <cols>
    <col min="2" max="5" width="13.5546875" customWidth="1"/>
    <col min="6" max="6" width="12.5546875" customWidth="1"/>
    <col min="7" max="8" width="13.5546875" customWidth="1"/>
    <col min="9" max="10" width="14.5546875" customWidth="1"/>
    <col min="11" max="13" width="13.5546875" customWidth="1"/>
  </cols>
  <sheetData>
    <row r="1" spans="1:24" x14ac:dyDescent="0.3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13</v>
      </c>
      <c r="P1" s="3" t="s">
        <v>13</v>
      </c>
      <c r="Q1" s="3" t="s">
        <v>13</v>
      </c>
      <c r="R1" s="3" t="s">
        <v>13</v>
      </c>
      <c r="S1" s="3" t="s">
        <v>13</v>
      </c>
      <c r="T1" s="3" t="s">
        <v>13</v>
      </c>
      <c r="U1" s="3" t="s">
        <v>13</v>
      </c>
      <c r="V1" s="3" t="s">
        <v>13</v>
      </c>
      <c r="W1" s="3" t="s">
        <v>13</v>
      </c>
      <c r="X1" s="3" t="s">
        <v>13</v>
      </c>
    </row>
    <row r="2" spans="1:24" x14ac:dyDescent="0.3">
      <c r="B2" t="str">
        <f>'Valori input_1_40'!B$1</f>
        <v>S01</v>
      </c>
      <c r="C2" t="str">
        <f>'Valori input_1_40'!C$1</f>
        <v>S02</v>
      </c>
      <c r="D2" t="str">
        <f>'Valori input_1_40'!D$1</f>
        <v>S03</v>
      </c>
      <c r="E2" t="str">
        <f>'Valori input_1_40'!E$1</f>
        <v>S04</v>
      </c>
      <c r="F2" t="str">
        <f>'Valori input_1_40'!F$1</f>
        <v>S05</v>
      </c>
      <c r="G2" t="str">
        <f>'Valori input_1_40'!G$1</f>
        <v>S06</v>
      </c>
      <c r="H2" t="str">
        <f>'Valori input_1_40'!H$1</f>
        <v>S07</v>
      </c>
      <c r="I2" t="str">
        <f>'Valori input_1_40'!I$1</f>
        <v>S08</v>
      </c>
      <c r="J2" t="str">
        <f>'Valori input_1_40'!J$1</f>
        <v>S09</v>
      </c>
      <c r="K2" t="str">
        <f>'Valori input_1_40'!K$1</f>
        <v>S10</v>
      </c>
      <c r="L2" t="str">
        <f>'Valori input_1_40'!L$1</f>
        <v>S11</v>
      </c>
      <c r="M2" t="str">
        <f>'Valori input_1_40'!M$1</f>
        <v>S12</v>
      </c>
      <c r="N2" t="str">
        <f>'Valori input_1_40'!N$1</f>
        <v>S13</v>
      </c>
      <c r="O2" t="str">
        <f>'Valori input_1_40'!O$1</f>
        <v>S14</v>
      </c>
      <c r="P2" t="str">
        <f>'Valori input_1_40'!P$1</f>
        <v>S15</v>
      </c>
      <c r="Q2" t="str">
        <f>'Valori input_1_40'!Q$1</f>
        <v>S16</v>
      </c>
      <c r="R2" t="str">
        <f>'Valori input_1_40'!R$1</f>
        <v>S17</v>
      </c>
      <c r="S2" t="str">
        <f>'Valori input_1_40'!S$1</f>
        <v>S18</v>
      </c>
      <c r="T2" t="str">
        <f>'Valori input_1_40'!T$1</f>
        <v>S19</v>
      </c>
      <c r="U2" t="str">
        <f>'Valori input_1_40'!U$1</f>
        <v>S20</v>
      </c>
      <c r="V2" t="str">
        <f>'Valori input_1_40'!V$1</f>
        <v>S21</v>
      </c>
      <c r="W2" t="str">
        <f>'Valori input_1_40'!W$1</f>
        <v>S22</v>
      </c>
      <c r="X2" t="str">
        <f>'Valori input_1_40'!X$1</f>
        <v>S23</v>
      </c>
    </row>
    <row r="3" spans="1:24" x14ac:dyDescent="0.3">
      <c r="A3" t="s">
        <v>0</v>
      </c>
      <c r="B3" t="s">
        <v>43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</row>
    <row r="4" spans="1:24" x14ac:dyDescent="0.3">
      <c r="A4">
        <v>0</v>
      </c>
      <c r="B4" s="1">
        <f>'Valori input_1_40'!B5*'Valori input_1_40'!B$3*'Valori input_1_40'!$B$16*'Valori input_1_40'!$B$18</f>
        <v>0</v>
      </c>
      <c r="C4" s="1">
        <f>'Valori input_1_40'!C5*'Valori input_1_40'!C$3*'Valori input_1_40'!$B$16*'Valori input_1_40'!$B$18</f>
        <v>0</v>
      </c>
      <c r="D4" s="1">
        <f>'Valori input_1_40'!D5*'Valori input_1_40'!D$3*'Valori input_1_40'!$B$16*'Valori input_1_40'!$B$18</f>
        <v>0</v>
      </c>
      <c r="E4" s="1">
        <f>'Valori input_1_40'!E5*'Valori input_1_40'!E$3*'Valori input_1_40'!$B$16*'Valori input_1_40'!$B$18</f>
        <v>0</v>
      </c>
      <c r="F4" s="1">
        <f>'Valori input_1_40'!F5*'Valori input_1_40'!F$3*'Valori input_1_40'!$B$16*'Valori input_1_40'!$B$18</f>
        <v>0</v>
      </c>
      <c r="G4" s="1">
        <f>'Valori input_1_40'!G5*'Valori input_1_40'!G$3*'Valori input_1_40'!$B$16*'Valori input_1_40'!$B$18</f>
        <v>0</v>
      </c>
      <c r="H4" s="1">
        <f>'Valori input_1_40'!H5*'Valori input_1_40'!H$3*'Valori input_1_40'!$B$16*'Valori input_1_40'!$B$18</f>
        <v>0</v>
      </c>
      <c r="I4" s="1">
        <f>'Valori input_1_40'!I5*'Valori input_1_40'!I$3*'Valori input_1_40'!$B$16*'Valori input_1_40'!$B$18</f>
        <v>0</v>
      </c>
      <c r="J4" s="1">
        <f>'Valori input_1_40'!J5*'Valori input_1_40'!J$3*'Valori input_1_40'!$B$16*'Valori input_1_40'!$B$18</f>
        <v>0</v>
      </c>
      <c r="K4" s="1">
        <f>'Valori input_1_40'!K5*'Valori input_1_40'!K$3*'Valori input_1_40'!$B$16*'Valori input_1_40'!$B$18</f>
        <v>0</v>
      </c>
      <c r="L4" s="1">
        <f>'Valori input_1_40'!L5*'Valori input_1_40'!L$3*'Valori input_1_40'!$B$16*'Valori input_1_40'!$B$18</f>
        <v>0</v>
      </c>
      <c r="M4" s="1">
        <f>'Valori input_1_40'!M5*'Valori input_1_40'!M$3*'Valori input_1_40'!$B$16*'Valori input_1_40'!$B$18</f>
        <v>0</v>
      </c>
      <c r="N4" s="1">
        <f>'Valori input_1_40'!N5*'Valori input_1_40'!N$3*'Valori input_1_40'!$B$16*'Valori input_1_40'!$B$18</f>
        <v>0</v>
      </c>
      <c r="O4" s="1">
        <f>'Valori input_1_40'!O5*'Valori input_1_40'!O$3*'Valori input_1_40'!$B$16*'Valori input_1_40'!$B$18</f>
        <v>0</v>
      </c>
      <c r="P4" s="1">
        <f>'Valori input_1_40'!P5*'Valori input_1_40'!P$3*'Valori input_1_40'!$B$16*'Valori input_1_40'!$B$18</f>
        <v>0</v>
      </c>
      <c r="Q4" s="1">
        <f>'Valori input_1_40'!Q5*'Valori input_1_40'!Q$3*'Valori input_1_40'!$B$16*'Valori input_1_40'!$B$18</f>
        <v>0</v>
      </c>
      <c r="R4" s="1">
        <f>'Valori input_1_40'!R5*'Valori input_1_40'!R$3*'Valori input_1_40'!$B$16*'Valori input_1_40'!$B$18</f>
        <v>0</v>
      </c>
      <c r="S4" s="1">
        <f>'Valori input_1_40'!S5*'Valori input_1_40'!S$3*'Valori input_1_40'!$B$16*'Valori input_1_40'!$B$18</f>
        <v>0</v>
      </c>
      <c r="T4" s="1">
        <f>'Valori input_1_40'!T5*'Valori input_1_40'!T$3*'Valori input_1_40'!$B$16*'Valori input_1_40'!$B$18</f>
        <v>0</v>
      </c>
      <c r="U4" s="1">
        <f>'Valori input_1_40'!U5*'Valori input_1_40'!U$3*'Valori input_1_40'!$B$16*'Valori input_1_40'!$B$18</f>
        <v>0</v>
      </c>
      <c r="V4" s="1">
        <f>'Valori input_1_40'!V5*'Valori input_1_40'!V$3*'Valori input_1_40'!$B$16*'Valori input_1_40'!$B$18</f>
        <v>0</v>
      </c>
      <c r="W4" s="1">
        <f>'Valori input_1_40'!W5*'Valori input_1_40'!W$3*'Valori input_1_40'!$B$16*'Valori input_1_40'!$B$18</f>
        <v>0</v>
      </c>
      <c r="X4" s="1">
        <f>'Valori input_1_40'!X5*'Valori input_1_40'!X$3*'Valori input_1_40'!$B$16*'Valori input_1_40'!$B$18</f>
        <v>0</v>
      </c>
    </row>
    <row r="5" spans="1:24" x14ac:dyDescent="0.3">
      <c r="A5">
        <v>10</v>
      </c>
      <c r="B5" s="8">
        <f>'Valori input_1_40'!B6*'Valori input_1_40'!$B$18</f>
        <v>3.7192918248776359E-2</v>
      </c>
      <c r="C5" s="8">
        <f>'Valori input_1_40'!C6*'Valori input_1_40'!$B$18</f>
        <v>4.0581703841997357E-2</v>
      </c>
      <c r="D5" s="8">
        <f>'Valori input_1_40'!D6*'Valori input_1_40'!$B$18</f>
        <v>3.027779557149923E-2</v>
      </c>
      <c r="E5" s="8">
        <f>'Valori input_1_40'!E6*'Valori input_1_40'!$B$18</f>
        <v>3.8940022251441511E-2</v>
      </c>
      <c r="F5" s="8">
        <f>'Valori input_1_40'!F6*'Valori input_1_40'!$B$18</f>
        <v>2.704681510831684E-2</v>
      </c>
      <c r="G5" s="8">
        <f>'Valori input_1_40'!G6*'Valori input_1_40'!$B$18</f>
        <v>1.4689377434475624E-2</v>
      </c>
      <c r="H5" s="8">
        <f>'Valori input_1_40'!H6*'Valori input_1_40'!$B$18</f>
        <v>6.6968168377114067E-3</v>
      </c>
      <c r="I5" s="8">
        <f>'Valori input_1_40'!I6*'Valori input_1_40'!$B$18</f>
        <v>3.1948881789137891E-3</v>
      </c>
      <c r="J5" s="8">
        <f>'Valori input_1_40'!J6*'Valori input_1_40'!$B$18</f>
        <v>1.4047260215543136E-2</v>
      </c>
      <c r="K5" s="8">
        <f>'Valori input_1_40'!K6*'Valori input_1_40'!$B$18</f>
        <v>1.5259829529833053E-2</v>
      </c>
      <c r="L5" s="8">
        <f>'Valori input_1_40'!L6*'Valori input_1_40'!$B$18</f>
        <v>1.3221459445715638E-2</v>
      </c>
      <c r="M5" s="8">
        <f>'Valori input_1_40'!M6*'Valori input_1_40'!$B$18</f>
        <v>1.5847744532894077E-2</v>
      </c>
      <c r="N5" s="1">
        <f>'Valori input_1_40'!N6*'Valori input_1_40'!N$3*'Valori input_1_40'!$B$16*'Valori input_1_40'!$B$18</f>
        <v>0</v>
      </c>
      <c r="O5" s="1">
        <f>'Valori input_1_40'!O6*'Valori input_1_40'!O$3*'Valori input_1_40'!$B$16*'Valori input_1_40'!$B$18</f>
        <v>0</v>
      </c>
      <c r="P5" s="1">
        <f>'Valori input_1_40'!P6*'Valori input_1_40'!P$3*'Valori input_1_40'!$B$16*'Valori input_1_40'!$B$18</f>
        <v>0</v>
      </c>
      <c r="Q5" s="1">
        <f>'Valori input_1_40'!Q6*'Valori input_1_40'!Q$3*'Valori input_1_40'!$B$16*'Valori input_1_40'!$B$18</f>
        <v>0</v>
      </c>
      <c r="R5" s="1">
        <f>'Valori input_1_40'!R6*'Valori input_1_40'!R$3*'Valori input_1_40'!$B$16*'Valori input_1_40'!$B$18</f>
        <v>0</v>
      </c>
      <c r="S5" s="1">
        <f>'Valori input_1_40'!S6*'Valori input_1_40'!S$3*'Valori input_1_40'!$B$16*'Valori input_1_40'!$B$18</f>
        <v>0</v>
      </c>
      <c r="T5" s="1">
        <f>'Valori input_1_40'!T6*'Valori input_1_40'!T$3*'Valori input_1_40'!$B$16*'Valori input_1_40'!$B$18</f>
        <v>0</v>
      </c>
      <c r="U5" s="1">
        <f>'Valori input_1_40'!U6*'Valori input_1_40'!U$3*'Valori input_1_40'!$B$16*'Valori input_1_40'!$B$18</f>
        <v>0</v>
      </c>
      <c r="V5" s="1">
        <f>'Valori input_1_40'!V6*'Valori input_1_40'!V$3*'Valori input_1_40'!$B$16*'Valori input_1_40'!$B$18</f>
        <v>0</v>
      </c>
      <c r="W5" s="1">
        <f>'Valori input_1_40'!W6*'Valori input_1_40'!W$3*'Valori input_1_40'!$B$16*'Valori input_1_40'!$B$18</f>
        <v>0</v>
      </c>
      <c r="X5" s="1">
        <f>'Valori input_1_40'!X6*'Valori input_1_40'!X$3*'Valori input_1_40'!$B$16*'Valori input_1_40'!$B$18</f>
        <v>0</v>
      </c>
    </row>
    <row r="6" spans="1:24" x14ac:dyDescent="0.3">
      <c r="A6">
        <v>20</v>
      </c>
      <c r="B6" s="8">
        <f>'Valori input_1_40'!B7*'Valori input_1_40'!$B$18</f>
        <v>8.161398051145996E-2</v>
      </c>
      <c r="C6" s="8">
        <f>'Valori input_1_40'!C7*'Valori input_1_40'!$B$18</f>
        <v>9.6819625953948843E-2</v>
      </c>
      <c r="D6" s="8">
        <f>'Valori input_1_40'!D7*'Valori input_1_40'!$B$18</f>
        <v>5.3381162855251754E-2</v>
      </c>
      <c r="E6" s="8">
        <f>'Valori input_1_40'!E7*'Valori input_1_40'!$B$18</f>
        <v>5.7954890259937095E-2</v>
      </c>
      <c r="F6" s="8">
        <f>'Valori input_1_40'!F7*'Valori input_1_40'!$B$18</f>
        <v>4.5759937981825233E-2</v>
      </c>
      <c r="G6" s="8">
        <f>'Valori input_1_40'!G7*'Valori input_1_40'!$B$18</f>
        <v>5.2815739090248899E-2</v>
      </c>
      <c r="H6" s="8">
        <f>'Valori input_1_40'!H7*'Valori input_1_40'!$B$18</f>
        <v>1.2291992810344349E-2</v>
      </c>
      <c r="I6" s="8">
        <f>'Valori input_1_40'!I7*'Valori input_1_40'!$B$18</f>
        <v>5.5972459568568852E-3</v>
      </c>
      <c r="J6" s="8">
        <f>'Valori input_1_40'!J7*'Valori input_1_40'!$B$18</f>
        <v>2.2350499047402758E-2</v>
      </c>
      <c r="K6" s="8">
        <f>'Valori input_1_40'!K7*'Valori input_1_40'!$B$18</f>
        <v>2.4230134726423699E-2</v>
      </c>
      <c r="L6" s="8">
        <f>'Valori input_1_40'!L7*'Valori input_1_40'!$B$18</f>
        <v>2.1453089244851439E-2</v>
      </c>
      <c r="M6" s="8">
        <f>'Valori input_1_40'!M7*'Valori input_1_40'!$B$18</f>
        <v>2.4796413212553672E-2</v>
      </c>
      <c r="N6" s="1">
        <f>'Valori input_1_40'!N7*'Valori input_1_40'!N$3*'Valori input_1_40'!$B$16*'Valori input_1_40'!$B$18</f>
        <v>0</v>
      </c>
      <c r="O6" s="1">
        <f>'Valori input_1_40'!O7*'Valori input_1_40'!O$3*'Valori input_1_40'!$B$16*'Valori input_1_40'!$B$18</f>
        <v>0</v>
      </c>
      <c r="P6" s="1">
        <f>'Valori input_1_40'!P7*'Valori input_1_40'!P$3*'Valori input_1_40'!$B$16*'Valori input_1_40'!$B$18</f>
        <v>0</v>
      </c>
      <c r="Q6" s="1">
        <f>'Valori input_1_40'!Q7*'Valori input_1_40'!Q$3*'Valori input_1_40'!$B$16*'Valori input_1_40'!$B$18</f>
        <v>0</v>
      </c>
      <c r="R6" s="1">
        <f>'Valori input_1_40'!R7*'Valori input_1_40'!R$3*'Valori input_1_40'!$B$16*'Valori input_1_40'!$B$18</f>
        <v>0</v>
      </c>
      <c r="S6" s="1">
        <f>'Valori input_1_40'!S7*'Valori input_1_40'!S$3*'Valori input_1_40'!$B$16*'Valori input_1_40'!$B$18</f>
        <v>0</v>
      </c>
      <c r="T6" s="1">
        <f>'Valori input_1_40'!T7*'Valori input_1_40'!T$3*'Valori input_1_40'!$B$16*'Valori input_1_40'!$B$18</f>
        <v>0</v>
      </c>
      <c r="U6" s="1">
        <f>'Valori input_1_40'!U7*'Valori input_1_40'!U$3*'Valori input_1_40'!$B$16*'Valori input_1_40'!$B$18</f>
        <v>0</v>
      </c>
      <c r="V6" s="1">
        <f>'Valori input_1_40'!V7*'Valori input_1_40'!V$3*'Valori input_1_40'!$B$16*'Valori input_1_40'!$B$18</f>
        <v>0</v>
      </c>
      <c r="W6" s="1">
        <f>'Valori input_1_40'!W7*'Valori input_1_40'!W$3*'Valori input_1_40'!$B$16*'Valori input_1_40'!$B$18</f>
        <v>0</v>
      </c>
      <c r="X6" s="1">
        <f>'Valori input_1_40'!X7*'Valori input_1_40'!X$3*'Valori input_1_40'!$B$16*'Valori input_1_40'!$B$18</f>
        <v>0</v>
      </c>
    </row>
    <row r="7" spans="1:24" x14ac:dyDescent="0.3">
      <c r="A7">
        <v>30</v>
      </c>
      <c r="B7" s="8">
        <f>'Valori input_1_40'!B8*'Valori input_1_40'!$B$18</f>
        <v>0.10496820531588842</v>
      </c>
      <c r="C7" s="8">
        <f>'Valori input_1_40'!C8*'Valori input_1_40'!$B$18</f>
        <v>0.14922537748517939</v>
      </c>
      <c r="D7" s="8">
        <f>'Valori input_1_40'!D8*'Valori input_1_40'!$B$18</f>
        <v>7.9666047445177801E-2</v>
      </c>
      <c r="E7" s="8">
        <f>'Valori input_1_40'!E8*'Valori input_1_40'!$B$18</f>
        <v>9.0826337615050434E-2</v>
      </c>
      <c r="F7" s="8">
        <f>'Valori input_1_40'!F8*'Valori input_1_40'!$B$18</f>
        <v>6.7595503682329222E-2</v>
      </c>
      <c r="G7" s="8">
        <f>'Valori input_1_40'!G8*'Valori input_1_40'!$B$18</f>
        <v>7.4965339671221973E-2</v>
      </c>
      <c r="H7" s="8">
        <f>'Valori input_1_40'!H8*'Valori input_1_40'!$B$18</f>
        <v>1.6959471212385488E-2</v>
      </c>
      <c r="I7" s="8">
        <f>'Valori input_1_40'!I8*'Valori input_1_40'!$B$18</f>
        <v>7.3309062089804509E-3</v>
      </c>
      <c r="J7" s="8">
        <f>'Valori input_1_40'!J8*'Valori input_1_40'!$B$18</f>
        <v>2.923195040805357E-2</v>
      </c>
      <c r="K7" s="8">
        <f>'Valori input_1_40'!K8*'Valori input_1_40'!$B$18</f>
        <v>3.0863348913940904E-2</v>
      </c>
      <c r="L7" s="8">
        <f>'Valori input_1_40'!L8*'Valori input_1_40'!$B$18</f>
        <v>2.8381642512077861E-2</v>
      </c>
      <c r="M7" s="8">
        <f>'Valori input_1_40'!M8*'Valori input_1_40'!$B$18</f>
        <v>3.1768688809588982E-2</v>
      </c>
      <c r="N7" s="1">
        <f>'Valori input_1_40'!N8*'Valori input_1_40'!N$3*'Valori input_1_40'!$B$16*'Valori input_1_40'!$B$18</f>
        <v>0</v>
      </c>
      <c r="O7" s="1">
        <f>'Valori input_1_40'!O8*'Valori input_1_40'!O$3*'Valori input_1_40'!$B$16*'Valori input_1_40'!$B$18</f>
        <v>0</v>
      </c>
      <c r="P7" s="1">
        <f>'Valori input_1_40'!P8*'Valori input_1_40'!P$3*'Valori input_1_40'!$B$16*'Valori input_1_40'!$B$18</f>
        <v>0</v>
      </c>
      <c r="Q7" s="1">
        <f>'Valori input_1_40'!Q8*'Valori input_1_40'!Q$3*'Valori input_1_40'!$B$16*'Valori input_1_40'!$B$18</f>
        <v>0</v>
      </c>
      <c r="R7" s="1">
        <f>'Valori input_1_40'!R8*'Valori input_1_40'!R$3*'Valori input_1_40'!$B$16*'Valori input_1_40'!$B$18</f>
        <v>0</v>
      </c>
      <c r="S7" s="1">
        <f>'Valori input_1_40'!S8*'Valori input_1_40'!S$3*'Valori input_1_40'!$B$16*'Valori input_1_40'!$B$18</f>
        <v>0</v>
      </c>
      <c r="T7" s="1">
        <f>'Valori input_1_40'!T8*'Valori input_1_40'!T$3*'Valori input_1_40'!$B$16*'Valori input_1_40'!$B$18</f>
        <v>0</v>
      </c>
      <c r="U7" s="1">
        <f>'Valori input_1_40'!U8*'Valori input_1_40'!U$3*'Valori input_1_40'!$B$16*'Valori input_1_40'!$B$18</f>
        <v>0</v>
      </c>
      <c r="V7" s="1">
        <f>'Valori input_1_40'!V8*'Valori input_1_40'!V$3*'Valori input_1_40'!$B$16*'Valori input_1_40'!$B$18</f>
        <v>0</v>
      </c>
      <c r="W7" s="1">
        <f>'Valori input_1_40'!W8*'Valori input_1_40'!W$3*'Valori input_1_40'!$B$16*'Valori input_1_40'!$B$18</f>
        <v>0</v>
      </c>
      <c r="X7" s="1">
        <f>'Valori input_1_40'!X8*'Valori input_1_40'!X$3*'Valori input_1_40'!$B$16*'Valori input_1_40'!$B$18</f>
        <v>0</v>
      </c>
    </row>
    <row r="8" spans="1:24" x14ac:dyDescent="0.3">
      <c r="A8">
        <v>40</v>
      </c>
      <c r="B8" s="8">
        <f>'Valori input_1_40'!B9*'Valori input_1_40'!$B$18</f>
        <v>0.12713298870030673</v>
      </c>
      <c r="C8" s="8">
        <f>'Valori input_1_40'!C9*'Valori input_1_40'!$B$18</f>
        <v>0.24263862958959814</v>
      </c>
      <c r="D8" s="8">
        <f>'Valori input_1_40'!D9*'Valori input_1_40'!$B$18</f>
        <v>0.12514679819785232</v>
      </c>
      <c r="E8" s="8">
        <f>'Valori input_1_40'!E9*'Valori input_1_40'!$B$18</f>
        <v>0.12103435487677415</v>
      </c>
      <c r="F8" s="8">
        <f>'Valori input_1_40'!F9*'Valori input_1_40'!$B$18</f>
        <v>9.3802489340626335E-2</v>
      </c>
      <c r="G8" s="8">
        <f>'Valori input_1_40'!G9*'Valori input_1_40'!$B$18</f>
        <v>0.1024955436720143</v>
      </c>
      <c r="H8" s="8">
        <f>'Valori input_1_40'!H9*'Valori input_1_40'!$B$18</f>
        <v>2.6352409114629216E-2</v>
      </c>
      <c r="I8" s="8">
        <f>'Valori input_1_40'!I9*'Valori input_1_40'!$B$18</f>
        <v>1.0005696312257029E-2</v>
      </c>
      <c r="J8" s="8">
        <f>'Valori input_1_40'!J9*'Valori input_1_40'!$B$18</f>
        <v>4.3193903375323937E-2</v>
      </c>
      <c r="K8" s="8">
        <f>'Valori input_1_40'!K9*'Valori input_1_40'!$B$18</f>
        <v>4.5298322793511946E-2</v>
      </c>
      <c r="L8" s="8">
        <f>'Valori input_1_40'!L9*'Valori input_1_40'!$B$18</f>
        <v>4.239766081871392E-2</v>
      </c>
      <c r="M8" s="8">
        <f>'Valori input_1_40'!M9*'Valori input_1_40'!$B$18</f>
        <v>4.1870253454112688E-2</v>
      </c>
      <c r="N8" s="1">
        <f>'Valori input_1_40'!N9*'Valori input_1_40'!N$3*'Valori input_1_40'!$B$16*'Valori input_1_40'!$B$18</f>
        <v>0</v>
      </c>
      <c r="O8" s="1">
        <f>'Valori input_1_40'!O9*'Valori input_1_40'!O$3*'Valori input_1_40'!$B$16*'Valori input_1_40'!$B$18</f>
        <v>0</v>
      </c>
      <c r="P8" s="1">
        <f>'Valori input_1_40'!P9*'Valori input_1_40'!P$3*'Valori input_1_40'!$B$16*'Valori input_1_40'!$B$18</f>
        <v>0</v>
      </c>
      <c r="Q8" s="1">
        <f>'Valori input_1_40'!Q9*'Valori input_1_40'!Q$3*'Valori input_1_40'!$B$16*'Valori input_1_40'!$B$18</f>
        <v>0</v>
      </c>
      <c r="R8" s="1">
        <f>'Valori input_1_40'!R9*'Valori input_1_40'!R$3*'Valori input_1_40'!$B$16*'Valori input_1_40'!$B$18</f>
        <v>0</v>
      </c>
      <c r="S8" s="1">
        <f>'Valori input_1_40'!S9*'Valori input_1_40'!S$3*'Valori input_1_40'!$B$16*'Valori input_1_40'!$B$18</f>
        <v>0</v>
      </c>
      <c r="T8" s="1">
        <f>'Valori input_1_40'!T9*'Valori input_1_40'!T$3*'Valori input_1_40'!$B$16*'Valori input_1_40'!$B$18</f>
        <v>0</v>
      </c>
      <c r="U8" s="1">
        <f>'Valori input_1_40'!U9*'Valori input_1_40'!U$3*'Valori input_1_40'!$B$16*'Valori input_1_40'!$B$18</f>
        <v>0</v>
      </c>
      <c r="V8" s="1">
        <f>'Valori input_1_40'!V9*'Valori input_1_40'!V$3*'Valori input_1_40'!$B$16*'Valori input_1_40'!$B$18</f>
        <v>0</v>
      </c>
      <c r="W8" s="1">
        <f>'Valori input_1_40'!W9*'Valori input_1_40'!W$3*'Valori input_1_40'!$B$16*'Valori input_1_40'!$B$18</f>
        <v>0</v>
      </c>
      <c r="X8" s="1">
        <f>'Valori input_1_40'!X9*'Valori input_1_40'!X$3*'Valori input_1_40'!$B$16*'Valori input_1_40'!$B$18</f>
        <v>0</v>
      </c>
    </row>
    <row r="9" spans="1:24" x14ac:dyDescent="0.3">
      <c r="A9">
        <v>50</v>
      </c>
      <c r="B9" s="8">
        <f>'Valori input_1_40'!B10*'Valori input_1_40'!$B$18</f>
        <v>0.17697515897342073</v>
      </c>
      <c r="C9" s="8">
        <f>'Valori input_1_40'!C10*'Valori input_1_40'!$B$18</f>
        <v>0.30444466280174304</v>
      </c>
      <c r="D9" s="8">
        <f>'Valori input_1_40'!D10*'Valori input_1_40'!$B$18</f>
        <v>0.15723955330642933</v>
      </c>
      <c r="E9" s="8">
        <f>'Valori input_1_40'!E10*'Valori input_1_40'!$B$18</f>
        <v>0.16263780722160398</v>
      </c>
      <c r="F9" s="8">
        <f>'Valori input_1_40'!F10*'Valori input_1_40'!$B$18</f>
        <v>0.11081441922563427</v>
      </c>
      <c r="G9" s="8">
        <f>'Valori input_1_40'!G10*'Valori input_1_40'!$B$18</f>
        <v>0.12873836403248207</v>
      </c>
      <c r="H9" s="8">
        <f>'Valori input_1_40'!H10*'Valori input_1_40'!$B$18</f>
        <v>3.0121180495159362E-2</v>
      </c>
      <c r="I9" s="8">
        <f>'Valori input_1_40'!I10*'Valori input_1_40'!$B$18</f>
        <v>1.12687916388043E-2</v>
      </c>
      <c r="J9" s="8">
        <f>'Valori input_1_40'!J10*'Valori input_1_40'!$B$18</f>
        <v>4.9478203998066947E-2</v>
      </c>
      <c r="K9" s="8">
        <f>'Valori input_1_40'!K10*'Valori input_1_40'!$B$18</f>
        <v>5.131289524333283E-2</v>
      </c>
      <c r="L9" s="8">
        <f>'Valori input_1_40'!L10*'Valori input_1_40'!$B$18</f>
        <v>4.8849478769387798E-2</v>
      </c>
      <c r="M9" s="8">
        <f>'Valori input_1_40'!M10*'Valori input_1_40'!$B$18</f>
        <v>4.5859639491261678E-2</v>
      </c>
      <c r="N9" s="1">
        <f>'Valori input_1_40'!N10*'Valori input_1_40'!N$3*'Valori input_1_40'!$B$16*'Valori input_1_40'!$B$18</f>
        <v>0</v>
      </c>
      <c r="O9" s="1">
        <f>'Valori input_1_40'!O10*'Valori input_1_40'!O$3*'Valori input_1_40'!$B$16*'Valori input_1_40'!$B$18</f>
        <v>0</v>
      </c>
      <c r="P9" s="1">
        <f>'Valori input_1_40'!P10*'Valori input_1_40'!P$3*'Valori input_1_40'!$B$16*'Valori input_1_40'!$B$18</f>
        <v>0</v>
      </c>
      <c r="Q9" s="1">
        <f>'Valori input_1_40'!Q10*'Valori input_1_40'!Q$3*'Valori input_1_40'!$B$16*'Valori input_1_40'!$B$18</f>
        <v>0</v>
      </c>
      <c r="R9" s="1">
        <f>'Valori input_1_40'!R10*'Valori input_1_40'!R$3*'Valori input_1_40'!$B$16*'Valori input_1_40'!$B$18</f>
        <v>0</v>
      </c>
      <c r="S9" s="1">
        <f>'Valori input_1_40'!S10*'Valori input_1_40'!S$3*'Valori input_1_40'!$B$16*'Valori input_1_40'!$B$18</f>
        <v>0</v>
      </c>
      <c r="T9" s="1">
        <f>'Valori input_1_40'!T10*'Valori input_1_40'!T$3*'Valori input_1_40'!$B$16*'Valori input_1_40'!$B$18</f>
        <v>0</v>
      </c>
      <c r="U9" s="1">
        <f>'Valori input_1_40'!U10*'Valori input_1_40'!U$3*'Valori input_1_40'!$B$16*'Valori input_1_40'!$B$18</f>
        <v>0</v>
      </c>
      <c r="V9" s="1">
        <f>'Valori input_1_40'!V10*'Valori input_1_40'!V$3*'Valori input_1_40'!$B$16*'Valori input_1_40'!$B$18</f>
        <v>0</v>
      </c>
      <c r="W9" s="1">
        <f>'Valori input_1_40'!W10*'Valori input_1_40'!W$3*'Valori input_1_40'!$B$16*'Valori input_1_40'!$B$18</f>
        <v>0</v>
      </c>
      <c r="X9" s="1">
        <f>'Valori input_1_40'!X10*'Valori input_1_40'!X$3*'Valori input_1_40'!$B$16*'Valori input_1_40'!$B$18</f>
        <v>0</v>
      </c>
    </row>
    <row r="10" spans="1:24" x14ac:dyDescent="0.3">
      <c r="A10">
        <v>60</v>
      </c>
      <c r="B10" s="8">
        <f>'Valori input_1_40'!B11*'Valori input_1_40'!$B$18</f>
        <v>0.21531177089528378</v>
      </c>
      <c r="C10" s="8">
        <f>'Valori input_1_40'!C11*'Valori input_1_40'!$B$18</f>
        <v>0.38639415675870498</v>
      </c>
      <c r="D10" s="8">
        <f>'Valori input_1_40'!D11*'Valori input_1_40'!$B$18</f>
        <v>0.24322593043366891</v>
      </c>
      <c r="E10" s="8">
        <f>'Valori input_1_40'!E11*'Valori input_1_40'!$B$18</f>
        <v>0.31967903981659435</v>
      </c>
      <c r="F10" s="8">
        <f>'Valori input_1_40'!F11*'Valori input_1_40'!$B$18</f>
        <v>0.13456651879925927</v>
      </c>
      <c r="G10" s="8">
        <f>'Valori input_1_40'!G11*'Valori input_1_40'!$B$18</f>
        <v>0.16762395193767751</v>
      </c>
      <c r="H10" s="8">
        <f>'Valori input_1_40'!H11*'Valori input_1_40'!$B$18</f>
        <v>4.3050965385284953E-2</v>
      </c>
      <c r="I10" s="8">
        <f>'Valori input_1_40'!I11*'Valori input_1_40'!$B$18</f>
        <v>1.547910939396205E-2</v>
      </c>
      <c r="J10" s="8">
        <f>'Valori input_1_40'!J11*'Valori input_1_40'!$B$18</f>
        <v>6.2132112491824952E-2</v>
      </c>
      <c r="K10" s="8">
        <f>'Valori input_1_40'!K11*'Valori input_1_40'!$B$18</f>
        <v>6.3651361011823268E-2</v>
      </c>
      <c r="L10" s="8">
        <f>'Valori input_1_40'!L11*'Valori input_1_40'!$B$18</f>
        <v>6.1212814645309262E-2</v>
      </c>
      <c r="M10" s="8">
        <f>'Valori input_1_40'!M11*'Valori input_1_40'!$B$18</f>
        <v>6.2475981334065088E-2</v>
      </c>
      <c r="N10" s="1">
        <f>'Valori input_1_40'!N11*'Valori input_1_40'!N$3*'Valori input_1_40'!$B$16*'Valori input_1_40'!$B$18</f>
        <v>0</v>
      </c>
      <c r="O10" s="1">
        <f>'Valori input_1_40'!O11*'Valori input_1_40'!O$3*'Valori input_1_40'!$B$16*'Valori input_1_40'!$B$18</f>
        <v>0</v>
      </c>
      <c r="P10" s="1">
        <f>'Valori input_1_40'!P11*'Valori input_1_40'!P$3*'Valori input_1_40'!$B$16*'Valori input_1_40'!$B$18</f>
        <v>0</v>
      </c>
      <c r="Q10" s="1">
        <f>'Valori input_1_40'!Q11*'Valori input_1_40'!Q$3*'Valori input_1_40'!$B$16*'Valori input_1_40'!$B$18</f>
        <v>0</v>
      </c>
      <c r="R10" s="1">
        <f>'Valori input_1_40'!R11*'Valori input_1_40'!R$3*'Valori input_1_40'!$B$16*'Valori input_1_40'!$B$18</f>
        <v>0</v>
      </c>
      <c r="S10" s="1">
        <f>'Valori input_1_40'!S11*'Valori input_1_40'!S$3*'Valori input_1_40'!$B$16*'Valori input_1_40'!$B$18</f>
        <v>0</v>
      </c>
      <c r="T10" s="1">
        <f>'Valori input_1_40'!T11*'Valori input_1_40'!T$3*'Valori input_1_40'!$B$16*'Valori input_1_40'!$B$18</f>
        <v>0</v>
      </c>
      <c r="U10" s="1">
        <f>'Valori input_1_40'!U11*'Valori input_1_40'!U$3*'Valori input_1_40'!$B$16*'Valori input_1_40'!$B$18</f>
        <v>0</v>
      </c>
      <c r="V10" s="1">
        <f>'Valori input_1_40'!V11*'Valori input_1_40'!V$3*'Valori input_1_40'!$B$16*'Valori input_1_40'!$B$18</f>
        <v>0</v>
      </c>
      <c r="W10" s="1">
        <f>'Valori input_1_40'!W11*'Valori input_1_40'!W$3*'Valori input_1_40'!$B$16*'Valori input_1_40'!$B$18</f>
        <v>0</v>
      </c>
      <c r="X10" s="1">
        <f>'Valori input_1_40'!X11*'Valori input_1_40'!X$3*'Valori input_1_40'!$B$16*'Valori input_1_40'!$B$18</f>
        <v>0</v>
      </c>
    </row>
    <row r="11" spans="1:24" x14ac:dyDescent="0.3">
      <c r="A11">
        <v>70</v>
      </c>
      <c r="B11" s="8">
        <f>'Valori input_1_40'!B12*'Valori input_1_40'!$B$18</f>
        <v>0.26867651768150413</v>
      </c>
      <c r="C11" s="8">
        <f>'Valori input_1_40'!C12*'Valori input_1_40'!$B$18</f>
        <v>0.50109724542268541</v>
      </c>
      <c r="D11" s="8">
        <f>'Valori input_1_40'!D12*'Valori input_1_40'!$B$18</f>
        <v>0.33427284179958605</v>
      </c>
      <c r="E11" s="8">
        <f>'Valori input_1_40'!E12*'Valori input_1_40'!$B$18</f>
        <v>0.43073396041940593</v>
      </c>
      <c r="F11" s="8">
        <f>'Valori input_1_40'!F12*'Valori input_1_40'!$B$18</f>
        <v>0.16755674232309734</v>
      </c>
      <c r="G11" s="8">
        <f>'Valori input_1_40'!G12*'Valori input_1_40'!$B$18</f>
        <v>0.2327853700402725</v>
      </c>
      <c r="H11" s="8">
        <f>'Valori input_1_40'!H12*'Valori input_1_40'!$B$18</f>
        <v>9.233489882298461E-2</v>
      </c>
      <c r="I11" s="8">
        <f>'Valori input_1_40'!I12*'Valori input_1_40'!$B$18</f>
        <v>2.1893652326820084E-2</v>
      </c>
      <c r="J11" s="8">
        <f>'Valori input_1_40'!J12*'Valori input_1_40'!$B$18</f>
        <v>8.1553729348537482E-2</v>
      </c>
      <c r="K11" s="8">
        <f>'Valori input_1_40'!K12*'Valori input_1_40'!$B$18</f>
        <v>8.451333516634639E-2</v>
      </c>
      <c r="L11" s="8">
        <f>'Valori input_1_40'!L12*'Valori input_1_40'!$B$18</f>
        <v>7.7771421306890506E-2</v>
      </c>
      <c r="M11" s="8">
        <f>'Valori input_1_40'!M12*'Valori input_1_40'!$B$18</f>
        <v>0.11117211089761166</v>
      </c>
      <c r="N11" s="1">
        <f>'Valori input_1_40'!N12*'Valori input_1_40'!N$3*'Valori input_1_40'!$B$16*'Valori input_1_40'!$B$18</f>
        <v>0</v>
      </c>
      <c r="O11" s="1">
        <f>'Valori input_1_40'!O12*'Valori input_1_40'!O$3*'Valori input_1_40'!$B$16*'Valori input_1_40'!$B$18</f>
        <v>0</v>
      </c>
      <c r="P11" s="1">
        <f>'Valori input_1_40'!P12*'Valori input_1_40'!P$3*'Valori input_1_40'!$B$16*'Valori input_1_40'!$B$18</f>
        <v>0</v>
      </c>
      <c r="Q11" s="1">
        <f>'Valori input_1_40'!Q12*'Valori input_1_40'!Q$3*'Valori input_1_40'!$B$16*'Valori input_1_40'!$B$18</f>
        <v>0</v>
      </c>
      <c r="R11" s="1">
        <f>'Valori input_1_40'!R12*'Valori input_1_40'!R$3*'Valori input_1_40'!$B$16*'Valori input_1_40'!$B$18</f>
        <v>0</v>
      </c>
      <c r="S11" s="1">
        <f>'Valori input_1_40'!S12*'Valori input_1_40'!S$3*'Valori input_1_40'!$B$16*'Valori input_1_40'!$B$18</f>
        <v>0</v>
      </c>
      <c r="T11" s="1">
        <f>'Valori input_1_40'!T12*'Valori input_1_40'!T$3*'Valori input_1_40'!$B$16*'Valori input_1_40'!$B$18</f>
        <v>0</v>
      </c>
      <c r="U11" s="1">
        <f>'Valori input_1_40'!U12*'Valori input_1_40'!U$3*'Valori input_1_40'!$B$16*'Valori input_1_40'!$B$18</f>
        <v>0</v>
      </c>
      <c r="V11" s="1">
        <f>'Valori input_1_40'!V12*'Valori input_1_40'!V$3*'Valori input_1_40'!$B$16*'Valori input_1_40'!$B$18</f>
        <v>0</v>
      </c>
      <c r="W11" s="1">
        <f>'Valori input_1_40'!W12*'Valori input_1_40'!W$3*'Valori input_1_40'!$B$16*'Valori input_1_40'!$B$18</f>
        <v>0</v>
      </c>
      <c r="X11" s="1">
        <f>'Valori input_1_40'!X12*'Valori input_1_40'!X$3*'Valori input_1_40'!$B$16*'Valori input_1_40'!$B$18</f>
        <v>0</v>
      </c>
    </row>
    <row r="12" spans="1:24" x14ac:dyDescent="0.3">
      <c r="A12">
        <v>80</v>
      </c>
      <c r="B12" s="8">
        <f>'Valori input_1_40'!B13*'Valori input_1_40'!$B$18</f>
        <v>0.35953154307150426</v>
      </c>
      <c r="C12" s="8">
        <f>'Valori input_1_40'!C13*'Valori input_1_40'!$B$18</f>
        <v>0.6946382365464614</v>
      </c>
      <c r="D12" s="8">
        <f>'Valori input_1_40'!D13*'Valori input_1_40'!$B$18</f>
        <v>0.46537697777208431</v>
      </c>
      <c r="E12" s="8">
        <f>'Valori input_1_40'!E13*'Valori input_1_40'!$B$18</f>
        <v>0.58595462054549774</v>
      </c>
      <c r="F12" s="8">
        <f>'Valori input_1_40'!F13*'Valori input_1_40'!$B$18</f>
        <v>0.24342133597484836</v>
      </c>
      <c r="G12" s="8">
        <f>'Valori input_1_40'!G13*'Valori input_1_40'!$B$18</f>
        <v>0.3452828943025022</v>
      </c>
      <c r="H12" s="8">
        <f>'Valori input_1_40'!H13*'Valori input_1_40'!$B$18</f>
        <v>0.19974488316808814</v>
      </c>
      <c r="I12" s="8">
        <f>'Valori input_1_40'!I13*'Valori input_1_40'!$B$18</f>
        <v>6.8999678034525058E-2</v>
      </c>
      <c r="J12" s="8">
        <f>'Valori input_1_40'!J13*'Valori input_1_40'!$B$18</f>
        <v>0.12341115250092426</v>
      </c>
      <c r="K12" s="8">
        <f>'Valori input_1_40'!K13*'Valori input_1_40'!$B$18</f>
        <v>0.12087572174869463</v>
      </c>
      <c r="L12" s="8">
        <f>'Valori input_1_40'!L13*'Valori input_1_40'!$B$18</f>
        <v>0.10726544622425629</v>
      </c>
      <c r="M12" s="8">
        <f>'Valori input_1_40'!M13*'Valori input_1_40'!$B$18</f>
        <v>0.47431603989386001</v>
      </c>
      <c r="N12" s="1">
        <f>'Valori input_1_40'!N13*'Valori input_1_40'!N$3*'Valori input_1_40'!$B$16*'Valori input_1_40'!$B$18</f>
        <v>0</v>
      </c>
      <c r="O12" s="1">
        <f>'Valori input_1_40'!O13*'Valori input_1_40'!O$3*'Valori input_1_40'!$B$16*'Valori input_1_40'!$B$18</f>
        <v>0</v>
      </c>
      <c r="P12" s="1">
        <f>'Valori input_1_40'!P13*'Valori input_1_40'!P$3*'Valori input_1_40'!$B$16*'Valori input_1_40'!$B$18</f>
        <v>0</v>
      </c>
      <c r="Q12" s="1">
        <f>'Valori input_1_40'!Q13*'Valori input_1_40'!Q$3*'Valori input_1_40'!$B$16*'Valori input_1_40'!$B$18</f>
        <v>0</v>
      </c>
      <c r="R12" s="1">
        <f>'Valori input_1_40'!R13*'Valori input_1_40'!R$3*'Valori input_1_40'!$B$16*'Valori input_1_40'!$B$18</f>
        <v>0</v>
      </c>
      <c r="S12" s="1">
        <f>'Valori input_1_40'!S13*'Valori input_1_40'!S$3*'Valori input_1_40'!$B$16*'Valori input_1_40'!$B$18</f>
        <v>0</v>
      </c>
      <c r="T12" s="1">
        <f>'Valori input_1_40'!T13*'Valori input_1_40'!T$3*'Valori input_1_40'!$B$16*'Valori input_1_40'!$B$18</f>
        <v>0</v>
      </c>
      <c r="U12" s="1">
        <f>'Valori input_1_40'!U13*'Valori input_1_40'!U$3*'Valori input_1_40'!$B$16*'Valori input_1_40'!$B$18</f>
        <v>0</v>
      </c>
      <c r="V12" s="1">
        <f>'Valori input_1_40'!V13*'Valori input_1_40'!V$3*'Valori input_1_40'!$B$16*'Valori input_1_40'!$B$18</f>
        <v>0</v>
      </c>
      <c r="W12" s="1">
        <f>'Valori input_1_40'!W13*'Valori input_1_40'!W$3*'Valori input_1_40'!$B$16*'Valori input_1_40'!$B$18</f>
        <v>0</v>
      </c>
      <c r="X12" s="1">
        <f>'Valori input_1_40'!X13*'Valori input_1_40'!X$3*'Valori input_1_40'!$B$16*'Valori input_1_40'!$B$18</f>
        <v>0</v>
      </c>
    </row>
    <row r="13" spans="1:24" x14ac:dyDescent="0.3">
      <c r="A13">
        <v>90</v>
      </c>
      <c r="B13" s="8">
        <f>'Valori input_1_40'!B14*'Valori input_1_40'!$B$18</f>
        <v>0.56997117891943838</v>
      </c>
      <c r="C13" s="8">
        <f>'Valori input_1_40'!C14*'Valori input_1_40'!$B$18</f>
        <v>1.1422816154072917</v>
      </c>
      <c r="D13" s="8">
        <f>'Valori input_1_40'!D14*'Valori input_1_40'!$B$18</f>
        <v>0.73943586787094617</v>
      </c>
      <c r="E13" s="8">
        <f>'Valori input_1_40'!E14*'Valori input_1_40'!$B$18</f>
        <v>0.92154681231246427</v>
      </c>
      <c r="F13" s="8">
        <f>'Valori input_1_40'!F14*'Valori input_1_40'!$B$18</f>
        <v>0.41166716912873103</v>
      </c>
      <c r="G13" s="8">
        <f>'Valori input_1_40'!G14*'Valori input_1_40'!$B$18</f>
        <v>0.59387997623291766</v>
      </c>
      <c r="H13" s="8">
        <f>'Valori input_1_40'!H14*'Valori input_1_40'!$B$18</f>
        <v>0.22685104655882249</v>
      </c>
      <c r="I13" s="8">
        <f>'Valori input_1_40'!I14*'Valori input_1_40'!$B$18</f>
        <v>8.0639968298784268E-2</v>
      </c>
      <c r="J13" s="8">
        <f>'Valori input_1_40'!J14*'Valori input_1_40'!$B$18</f>
        <v>0.175192652202349</v>
      </c>
      <c r="K13" s="8">
        <f>'Valori input_1_40'!K14*'Valori input_1_40'!$B$18</f>
        <v>0.16971405004124354</v>
      </c>
      <c r="L13" s="8">
        <f>'Valori input_1_40'!L14*'Valori input_1_40'!$B$18</f>
        <v>0.15045766590389012</v>
      </c>
      <c r="M13" s="8">
        <f>'Valori input_1_40'!M14*'Valori input_1_40'!$B$18</f>
        <v>0.87764662823680117</v>
      </c>
      <c r="N13" s="1">
        <f>'Valori input_1_40'!N14*'Valori input_1_40'!N$3*'Valori input_1_40'!$B$16*'Valori input_1_40'!$B$18</f>
        <v>0</v>
      </c>
      <c r="O13" s="1">
        <f>'Valori input_1_40'!O14*'Valori input_1_40'!O$3*'Valori input_1_40'!$B$16*'Valori input_1_40'!$B$18</f>
        <v>0</v>
      </c>
      <c r="P13" s="1">
        <f>'Valori input_1_40'!P14*'Valori input_1_40'!P$3*'Valori input_1_40'!$B$16*'Valori input_1_40'!$B$18</f>
        <v>0</v>
      </c>
      <c r="Q13" s="1">
        <f>'Valori input_1_40'!Q14*'Valori input_1_40'!Q$3*'Valori input_1_40'!$B$16*'Valori input_1_40'!$B$18</f>
        <v>0</v>
      </c>
      <c r="R13" s="1">
        <f>'Valori input_1_40'!R14*'Valori input_1_40'!R$3*'Valori input_1_40'!$B$16*'Valori input_1_40'!$B$18</f>
        <v>0</v>
      </c>
      <c r="S13" s="1">
        <f>'Valori input_1_40'!S14*'Valori input_1_40'!S$3*'Valori input_1_40'!$B$16*'Valori input_1_40'!$B$18</f>
        <v>0</v>
      </c>
      <c r="T13" s="1">
        <f>'Valori input_1_40'!T14*'Valori input_1_40'!T$3*'Valori input_1_40'!$B$16*'Valori input_1_40'!$B$18</f>
        <v>0</v>
      </c>
      <c r="U13" s="1">
        <f>'Valori input_1_40'!U14*'Valori input_1_40'!U$3*'Valori input_1_40'!$B$16*'Valori input_1_40'!$B$18</f>
        <v>0</v>
      </c>
      <c r="V13" s="1">
        <f>'Valori input_1_40'!V14*'Valori input_1_40'!V$3*'Valori input_1_40'!$B$16*'Valori input_1_40'!$B$18</f>
        <v>0</v>
      </c>
      <c r="W13" s="1">
        <f>'Valori input_1_40'!W14*'Valori input_1_40'!W$3*'Valori input_1_40'!$B$16*'Valori input_1_40'!$B$18</f>
        <v>0</v>
      </c>
      <c r="X13" s="1">
        <f>'Valori input_1_40'!X14*'Valori input_1_40'!X$3*'Valori input_1_40'!$B$16*'Valori input_1_40'!$B$18</f>
        <v>0</v>
      </c>
    </row>
    <row r="15" spans="1:24" x14ac:dyDescent="0.3">
      <c r="B15" s="8">
        <v>4.2415683306405438E-2</v>
      </c>
      <c r="C15" s="8">
        <v>5.930596175677038E-2</v>
      </c>
      <c r="D15" s="8">
        <v>6.1130120674900194E-2</v>
      </c>
      <c r="E15" s="8">
        <v>5.9687756770702691E-2</v>
      </c>
      <c r="F15" s="8">
        <v>2.7247129103167525E-2</v>
      </c>
      <c r="G15" s="8">
        <v>2.3844763623061097E-2</v>
      </c>
      <c r="H15" s="8">
        <v>1.5452974224160901E-2</v>
      </c>
      <c r="I15" s="8">
        <v>5.93217903736453E-3</v>
      </c>
      <c r="J15" s="8">
        <v>9.3218450479624487E-3</v>
      </c>
      <c r="K15" s="8">
        <v>8.0648867795021922E-3</v>
      </c>
      <c r="L15" s="8">
        <v>8.5051940203361015E-3</v>
      </c>
      <c r="M15" s="8">
        <v>5.0470624967968655E-2</v>
      </c>
    </row>
    <row r="16" spans="1:24" x14ac:dyDescent="0.3">
      <c r="B16" s="8">
        <v>6.6169499273167984</v>
      </c>
      <c r="C16" s="8">
        <v>3.0607089607833893</v>
      </c>
      <c r="D16" s="8">
        <v>1.8517463036400144</v>
      </c>
      <c r="E16" s="8">
        <v>1.0000000000000271</v>
      </c>
      <c r="F16" s="8">
        <v>8.5556932544681246</v>
      </c>
      <c r="G16" s="8">
        <v>4.1631074400871437</v>
      </c>
      <c r="H16" s="8">
        <v>1.0000000000000222</v>
      </c>
      <c r="I16" s="8">
        <v>1.0000000000001432</v>
      </c>
      <c r="J16" s="8">
        <v>9.6749191819651745</v>
      </c>
      <c r="K16" s="8">
        <v>10.391517167072244</v>
      </c>
      <c r="L16" s="8">
        <v>7.873451793256951</v>
      </c>
      <c r="M16" s="8">
        <v>1.0000000000000222</v>
      </c>
    </row>
    <row r="17" spans="2:13" x14ac:dyDescent="0.3">
      <c r="B17" s="8">
        <v>10.150162088065551</v>
      </c>
      <c r="C17" s="8">
        <v>10.332985644981461</v>
      </c>
      <c r="D17" s="8">
        <v>11.815050164093311</v>
      </c>
      <c r="E17" s="8">
        <v>9.822716627138826</v>
      </c>
      <c r="F17" s="8">
        <v>12.797679561226188</v>
      </c>
      <c r="G17" s="8">
        <v>17.64728360748105</v>
      </c>
      <c r="H17" s="8">
        <v>86.587814431389731</v>
      </c>
      <c r="I17" s="8">
        <v>74.741676722991613</v>
      </c>
      <c r="J17" s="8">
        <v>19.96824142229244</v>
      </c>
      <c r="K17" s="8">
        <v>15.244102376128881</v>
      </c>
      <c r="L17" s="8">
        <v>11.65686825536466</v>
      </c>
      <c r="M17" s="8">
        <v>105.4136541190454</v>
      </c>
    </row>
    <row r="18" spans="2:13" x14ac:dyDescent="0.3">
      <c r="B18" s="8">
        <v>3.6680127560463722</v>
      </c>
      <c r="C18" s="8">
        <v>4.7226790143201889</v>
      </c>
      <c r="D18" s="8">
        <v>2.9962543553806427</v>
      </c>
      <c r="E18" s="8">
        <v>8.1560185632143849</v>
      </c>
      <c r="F18" s="8">
        <v>5.7143208260539922</v>
      </c>
      <c r="G18" s="8">
        <v>3.8706785815120814</v>
      </c>
      <c r="H18" s="8">
        <v>24.673324911314072</v>
      </c>
      <c r="I18" s="8">
        <v>35.200260207493805</v>
      </c>
      <c r="J18" s="8">
        <v>4.093320961325035</v>
      </c>
      <c r="K18" s="8">
        <v>3.8924617890133124</v>
      </c>
      <c r="L18" s="8">
        <v>4.1525641618811031</v>
      </c>
      <c r="M18" s="8">
        <v>60.941444873346967</v>
      </c>
    </row>
    <row r="19" spans="2:13" x14ac:dyDescent="0.3">
      <c r="B19" s="8">
        <v>0.99600937871023343</v>
      </c>
      <c r="C19" s="8">
        <v>0.99518934451292407</v>
      </c>
      <c r="D19" s="8">
        <v>0.99845535289769749</v>
      </c>
      <c r="E19" s="8">
        <v>0.99018271125281254</v>
      </c>
      <c r="F19" s="8">
        <v>0.99069042357664427</v>
      </c>
      <c r="G19" s="8">
        <v>0.99708777474882571</v>
      </c>
      <c r="H19" s="8">
        <v>0.95286519398042935</v>
      </c>
      <c r="I19" s="8">
        <v>0.90053305784857207</v>
      </c>
      <c r="J19" s="8">
        <v>0.99578236472119142</v>
      </c>
      <c r="K19" s="8">
        <v>0.99576425493651943</v>
      </c>
      <c r="L19" s="8">
        <v>0.99496632698902121</v>
      </c>
      <c r="M19" s="8">
        <v>0.81664408013345979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0A82-3A25-41C8-8377-740CD8B54591}">
  <dimension ref="A1:X19"/>
  <sheetViews>
    <sheetView zoomScale="70" zoomScaleNormal="70" workbookViewId="0">
      <selection activeCell="M19" sqref="M19"/>
    </sheetView>
  </sheetViews>
  <sheetFormatPr defaultRowHeight="14.4" x14ac:dyDescent="0.3"/>
  <cols>
    <col min="2" max="3" width="13.5546875" customWidth="1"/>
    <col min="4" max="5" width="12.5546875" customWidth="1"/>
    <col min="6" max="8" width="13.5546875" customWidth="1"/>
    <col min="9" max="9" width="14.5546875" customWidth="1"/>
    <col min="10" max="10" width="13.5546875" customWidth="1"/>
    <col min="11" max="11" width="14.5546875" customWidth="1"/>
    <col min="12" max="12" width="13.5546875" customWidth="1"/>
  </cols>
  <sheetData>
    <row r="1" spans="1:24" x14ac:dyDescent="0.3">
      <c r="A1" t="s">
        <v>0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13</v>
      </c>
      <c r="N1" s="3" t="s">
        <v>13</v>
      </c>
      <c r="O1" s="3" t="s">
        <v>13</v>
      </c>
      <c r="P1" s="3" t="s">
        <v>13</v>
      </c>
      <c r="Q1" s="3" t="s">
        <v>13</v>
      </c>
      <c r="R1" s="3" t="s">
        <v>13</v>
      </c>
      <c r="S1" s="3" t="s">
        <v>13</v>
      </c>
      <c r="T1" s="3" t="s">
        <v>13</v>
      </c>
      <c r="U1" s="3" t="s">
        <v>13</v>
      </c>
      <c r="V1" s="3" t="s">
        <v>13</v>
      </c>
      <c r="W1" s="3" t="s">
        <v>13</v>
      </c>
      <c r="X1" s="3" t="s">
        <v>13</v>
      </c>
    </row>
    <row r="2" spans="1:24" x14ac:dyDescent="0.3">
      <c r="B2" t="str">
        <f>'Valori input_2_40'!B$1</f>
        <v>S07</v>
      </c>
      <c r="C2" t="str">
        <f>'Valori input_2_40'!C$1</f>
        <v>S09</v>
      </c>
      <c r="D2" t="str">
        <f>'Valori input_2_40'!D$1</f>
        <v>S10</v>
      </c>
      <c r="E2" t="str">
        <f>'Valori input_2_40'!E$1</f>
        <v>S11</v>
      </c>
      <c r="F2" t="str">
        <f>'Valori input_2_40'!F$1</f>
        <v>S13</v>
      </c>
      <c r="G2" t="str">
        <f>'Valori input_2_40'!G$1</f>
        <v>S15</v>
      </c>
      <c r="H2" t="str">
        <f>'Valori input_2_40'!H$1</f>
        <v>S17</v>
      </c>
      <c r="I2" t="str">
        <f>'Valori input_2_40'!I$1</f>
        <v>S19</v>
      </c>
      <c r="J2" t="str">
        <f>'Valori input_2_40'!J$1</f>
        <v>S20</v>
      </c>
      <c r="K2" t="str">
        <f>'Valori input_2_40'!K$1</f>
        <v>S21</v>
      </c>
      <c r="L2" t="str">
        <f>'Valori input_2_40'!L$1</f>
        <v>S23</v>
      </c>
      <c r="M2" t="str">
        <f>'Valori input_2_40'!M$1</f>
        <v>S12</v>
      </c>
      <c r="N2" t="str">
        <f>'Valori input_2_40'!N$1</f>
        <v>S13</v>
      </c>
      <c r="O2" t="str">
        <f>'Valori input_2_40'!O$1</f>
        <v>S14</v>
      </c>
      <c r="P2" t="str">
        <f>'Valori input_2_40'!P$1</f>
        <v>S15</v>
      </c>
      <c r="Q2" t="str">
        <f>'Valori input_2_40'!Q$1</f>
        <v>S16</v>
      </c>
      <c r="R2" t="str">
        <f>'Valori input_2_40'!R$1</f>
        <v>S17</v>
      </c>
      <c r="S2" t="str">
        <f>'Valori input_2_40'!S$1</f>
        <v>S18</v>
      </c>
      <c r="T2" t="str">
        <f>'Valori input_2_40'!T$1</f>
        <v>S19</v>
      </c>
      <c r="U2" t="str">
        <f>'Valori input_2_40'!U$1</f>
        <v>S20</v>
      </c>
      <c r="V2" t="str">
        <f>'Valori input_2_40'!V$1</f>
        <v>S21</v>
      </c>
      <c r="W2" t="str">
        <f>'Valori input_2_40'!W$1</f>
        <v>S22</v>
      </c>
      <c r="X2" t="str">
        <f>'Valori input_2_40'!X$1</f>
        <v>S23</v>
      </c>
    </row>
    <row r="3" spans="1:24" x14ac:dyDescent="0.3">
      <c r="A3" t="s">
        <v>0</v>
      </c>
      <c r="B3" t="s">
        <v>43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</row>
    <row r="4" spans="1:24" x14ac:dyDescent="0.3">
      <c r="A4">
        <v>0</v>
      </c>
      <c r="B4" s="7">
        <f>'Valori input_2_40'!B5*'Valori input_2_40'!B$3*'Valori input_2_40'!$B$16*'Valori input_2_40'!$B$18</f>
        <v>0</v>
      </c>
      <c r="C4" s="1">
        <f>'Valori input_2_40'!C5*'Valori input_2_40'!C$3*'Valori input_2_40'!$B$16*'Valori input_2_40'!$B$18</f>
        <v>0</v>
      </c>
      <c r="D4" s="1">
        <f>'Valori input_2_40'!D5*'Valori input_2_40'!D$3*'Valori input_2_40'!$B$16*'Valori input_2_40'!$B$18</f>
        <v>0</v>
      </c>
      <c r="E4" s="1">
        <f>'Valori input_2_40'!E5*'Valori input_2_40'!E$3*'Valori input_2_40'!$B$16*'Valori input_2_40'!$B$18</f>
        <v>0</v>
      </c>
      <c r="F4" s="1">
        <f>'Valori input_2_40'!F5*'Valori input_2_40'!F$3*'Valori input_2_40'!$B$16*'Valori input_2_40'!$B$18</f>
        <v>0</v>
      </c>
      <c r="G4" s="7">
        <f>'Valori input_2_40'!G5*'Valori input_2_40'!G$3*'Valori input_2_40'!$B$16*'Valori input_2_40'!$B$18</f>
        <v>0</v>
      </c>
      <c r="H4" s="1">
        <f>'Valori input_2_40'!H5*'Valori input_2_40'!H$3*'Valori input_2_40'!$B$16*'Valori input_2_40'!$B$18</f>
        <v>0</v>
      </c>
      <c r="I4" s="1">
        <f>'Valori input_2_40'!I5*'Valori input_2_40'!I$3*'Valori input_2_40'!$B$16*'Valori input_2_40'!$B$18</f>
        <v>0</v>
      </c>
      <c r="J4" s="1">
        <f>'Valori input_2_40'!J5*'Valori input_2_40'!J$3*'Valori input_2_40'!$B$16*'Valori input_2_40'!$B$18</f>
        <v>0</v>
      </c>
      <c r="K4" s="1">
        <f>'Valori input_2_40'!K5*'Valori input_2_40'!K$3*'Valori input_2_40'!$B$16*'Valori input_2_40'!$B$18</f>
        <v>0</v>
      </c>
      <c r="L4" s="1">
        <f>'Valori input_2_40'!L5*'Valori input_2_40'!L$3*'Valori input_2_40'!$B$16*'Valori input_2_40'!$B$18</f>
        <v>0</v>
      </c>
      <c r="M4" s="1">
        <f>'Valori input_2_40'!M5*'Valori input_2_40'!M$3*'Valori input_2_40'!$B$16*'Valori input_2_40'!$B$18</f>
        <v>0</v>
      </c>
      <c r="N4" s="1">
        <f>'Valori input_2_40'!N5*'Valori input_2_40'!N$3*'Valori input_2_40'!$B$16*'Valori input_2_40'!$B$18</f>
        <v>0</v>
      </c>
      <c r="O4" s="1">
        <f>'Valori input_2_40'!O5*'Valori input_2_40'!O$3*'Valori input_2_40'!$B$16*'Valori input_2_40'!$B$18</f>
        <v>0</v>
      </c>
      <c r="P4" s="1">
        <f>'Valori input_2_40'!P5*'Valori input_2_40'!P$3*'Valori input_2_40'!$B$16*'Valori input_2_40'!$B$18</f>
        <v>0</v>
      </c>
      <c r="Q4" s="1">
        <f>'Valori input_2_40'!Q5*'Valori input_2_40'!Q$3*'Valori input_2_40'!$B$16*'Valori input_2_40'!$B$18</f>
        <v>0</v>
      </c>
      <c r="R4" s="1">
        <f>'Valori input_2_40'!R5*'Valori input_2_40'!R$3*'Valori input_2_40'!$B$16*'Valori input_2_40'!$B$18</f>
        <v>0</v>
      </c>
      <c r="S4" s="1">
        <f>'Valori input_2_40'!S5*'Valori input_2_40'!S$3*'Valori input_2_40'!$B$16*'Valori input_2_40'!$B$18</f>
        <v>0</v>
      </c>
      <c r="T4" s="1">
        <f>'Valori input_2_40'!T5*'Valori input_2_40'!T$3*'Valori input_2_40'!$B$16*'Valori input_2_40'!$B$18</f>
        <v>0</v>
      </c>
      <c r="U4" s="1">
        <f>'Valori input_2_40'!U5*'Valori input_2_40'!U$3*'Valori input_2_40'!$B$16*'Valori input_2_40'!$B$18</f>
        <v>0</v>
      </c>
      <c r="V4" s="1">
        <f>'Valori input_2_40'!V5*'Valori input_2_40'!V$3*'Valori input_2_40'!$B$16*'Valori input_2_40'!$B$18</f>
        <v>0</v>
      </c>
      <c r="W4" s="1">
        <f>'Valori input_2_40'!W5*'Valori input_2_40'!W$3*'Valori input_2_40'!$B$16*'Valori input_2_40'!$B$18</f>
        <v>0</v>
      </c>
      <c r="X4" s="1">
        <f>'Valori input_2_40'!X5*'Valori input_2_40'!X$3*'Valori input_2_40'!$B$16*'Valori input_2_40'!$B$18</f>
        <v>0</v>
      </c>
    </row>
    <row r="5" spans="1:24" x14ac:dyDescent="0.3">
      <c r="A5">
        <v>10</v>
      </c>
      <c r="B5" s="7">
        <f>'Valori input_2_40'!B6*'Valori input_2_40'!$B$18</f>
        <v>2.5721898961335681E-2</v>
      </c>
      <c r="C5" s="7">
        <f>'Valori input_2_40'!C6*'Valori input_2_40'!$B$18</f>
        <v>2.4112793399022597E-2</v>
      </c>
      <c r="D5" s="7">
        <f>'Valori input_2_40'!D6*'Valori input_2_40'!$B$18</f>
        <v>1.9785216718266409E-2</v>
      </c>
      <c r="E5" s="7">
        <f>'Valori input_2_40'!E6*'Valori input_2_40'!$B$18</f>
        <v>2.7092805562985049E-2</v>
      </c>
      <c r="F5" s="7">
        <f>'Valori input_2_40'!F6*'Valori input_2_40'!$B$18</f>
        <v>1.6241003757723055E-2</v>
      </c>
      <c r="G5" s="7">
        <f>'Valori input_2_40'!G6*'Valori input_2_40'!$B$18</f>
        <v>1.1619233417488968E-2</v>
      </c>
      <c r="H5" s="7">
        <f>'Valori input_2_40'!H6*'Valori input_2_40'!$B$18</f>
        <v>5.2958844917535995E-3</v>
      </c>
      <c r="I5" s="7">
        <f>'Valori input_2_40'!I6*'Valori input_2_40'!$B$18</f>
        <v>2.4607317802364617E-3</v>
      </c>
      <c r="J5" s="7">
        <f>'Valori input_2_40'!J6*'Valori input_2_40'!$B$18</f>
        <v>7.6023869860216281E-3</v>
      </c>
      <c r="K5" s="7">
        <f>'Valori input_2_40'!K6*'Valori input_2_40'!$B$18</f>
        <v>1.1322270479251422E-2</v>
      </c>
      <c r="L5" s="7">
        <f>'Valori input_2_40'!L6*'Valori input_2_40'!$B$18</f>
        <v>9.9480178698955982E-3</v>
      </c>
      <c r="M5" s="1">
        <f>'Valori input_2_40'!M6*'Valori input_2_40'!M$3*'Valori input_2_40'!$B$16*'Valori input_2_40'!$B$18</f>
        <v>0</v>
      </c>
      <c r="N5" s="1">
        <f>'Valori input_2_40'!N6*'Valori input_2_40'!N$3*'Valori input_2_40'!$B$16*'Valori input_2_40'!$B$18</f>
        <v>0</v>
      </c>
      <c r="O5" s="1">
        <f>'Valori input_2_40'!O6*'Valori input_2_40'!O$3*'Valori input_2_40'!$B$16*'Valori input_2_40'!$B$18</f>
        <v>0</v>
      </c>
      <c r="P5" s="1">
        <f>'Valori input_2_40'!P6*'Valori input_2_40'!P$3*'Valori input_2_40'!$B$16*'Valori input_2_40'!$B$18</f>
        <v>0</v>
      </c>
      <c r="Q5" s="1">
        <f>'Valori input_2_40'!Q6*'Valori input_2_40'!Q$3*'Valori input_2_40'!$B$16*'Valori input_2_40'!$B$18</f>
        <v>0</v>
      </c>
      <c r="R5" s="1">
        <f>'Valori input_2_40'!R6*'Valori input_2_40'!R$3*'Valori input_2_40'!$B$16*'Valori input_2_40'!$B$18</f>
        <v>0</v>
      </c>
      <c r="S5" s="1">
        <f>'Valori input_2_40'!S6*'Valori input_2_40'!S$3*'Valori input_2_40'!$B$16*'Valori input_2_40'!$B$18</f>
        <v>0</v>
      </c>
      <c r="T5" s="1">
        <f>'Valori input_2_40'!T6*'Valori input_2_40'!T$3*'Valori input_2_40'!$B$16*'Valori input_2_40'!$B$18</f>
        <v>0</v>
      </c>
      <c r="U5" s="1">
        <f>'Valori input_2_40'!U6*'Valori input_2_40'!U$3*'Valori input_2_40'!$B$16*'Valori input_2_40'!$B$18</f>
        <v>0</v>
      </c>
      <c r="V5" s="1">
        <f>'Valori input_2_40'!V6*'Valori input_2_40'!V$3*'Valori input_2_40'!$B$16*'Valori input_2_40'!$B$18</f>
        <v>0</v>
      </c>
      <c r="W5" s="1">
        <f>'Valori input_2_40'!W6*'Valori input_2_40'!W$3*'Valori input_2_40'!$B$16*'Valori input_2_40'!$B$18</f>
        <v>0</v>
      </c>
      <c r="X5" s="1">
        <f>'Valori input_2_40'!X6*'Valori input_2_40'!X$3*'Valori input_2_40'!$B$16*'Valori input_2_40'!$B$18</f>
        <v>0</v>
      </c>
    </row>
    <row r="6" spans="1:24" x14ac:dyDescent="0.3">
      <c r="A6">
        <v>20</v>
      </c>
      <c r="B6" s="7">
        <f>'Valori input_2_40'!B7*'Valori input_2_40'!$B$18</f>
        <v>4.6241412438595732E-2</v>
      </c>
      <c r="C6" s="7">
        <f>'Valori input_2_40'!C7*'Valori input_2_40'!$B$18</f>
        <v>3.7624502656946869E-2</v>
      </c>
      <c r="D6" s="7">
        <f>'Valori input_2_40'!D7*'Valori input_2_40'!$B$18</f>
        <v>4.9487229102167456E-2</v>
      </c>
      <c r="E6" s="7">
        <f>'Valori input_2_40'!E7*'Valori input_2_40'!$B$18</f>
        <v>6.2824284568066824E-2</v>
      </c>
      <c r="F6" s="7">
        <f>'Valori input_2_40'!F7*'Valori input_2_40'!$B$18</f>
        <v>3.4456404050697935E-2</v>
      </c>
      <c r="G6" s="7">
        <f>'Valori input_2_40'!G7*'Valori input_2_40'!$B$18</f>
        <v>3.4140463621758349E-2</v>
      </c>
      <c r="H6" s="7">
        <f>'Valori input_2_40'!H7*'Valori input_2_40'!$B$18</f>
        <v>1.3173842019286954E-2</v>
      </c>
      <c r="I6" s="7">
        <f>'Valori input_2_40'!I7*'Valori input_2_40'!$B$18</f>
        <v>6.370305636686082E-3</v>
      </c>
      <c r="J6" s="7">
        <f>'Valori input_2_40'!J7*'Valori input_2_40'!$B$18</f>
        <v>1.7139431592141843E-2</v>
      </c>
      <c r="K6" s="7">
        <f>'Valori input_2_40'!K7*'Valori input_2_40'!$B$18</f>
        <v>2.0636155951096039E-2</v>
      </c>
      <c r="L6" s="7">
        <f>'Valori input_2_40'!L7*'Valori input_2_40'!$B$18</f>
        <v>1.6707355554448852E-2</v>
      </c>
      <c r="M6" s="1">
        <f>'Valori input_2_40'!M7*'Valori input_2_40'!M$3*'Valori input_2_40'!$B$16*'Valori input_2_40'!$B$18</f>
        <v>0</v>
      </c>
      <c r="N6" s="1">
        <f>'Valori input_2_40'!N7*'Valori input_2_40'!N$3*'Valori input_2_40'!$B$16*'Valori input_2_40'!$B$18</f>
        <v>0</v>
      </c>
      <c r="O6" s="1">
        <f>'Valori input_2_40'!O7*'Valori input_2_40'!O$3*'Valori input_2_40'!$B$16*'Valori input_2_40'!$B$18</f>
        <v>0</v>
      </c>
      <c r="P6" s="1">
        <f>'Valori input_2_40'!P7*'Valori input_2_40'!P$3*'Valori input_2_40'!$B$16*'Valori input_2_40'!$B$18</f>
        <v>0</v>
      </c>
      <c r="Q6" s="1">
        <f>'Valori input_2_40'!Q7*'Valori input_2_40'!Q$3*'Valori input_2_40'!$B$16*'Valori input_2_40'!$B$18</f>
        <v>0</v>
      </c>
      <c r="R6" s="1">
        <f>'Valori input_2_40'!R7*'Valori input_2_40'!R$3*'Valori input_2_40'!$B$16*'Valori input_2_40'!$B$18</f>
        <v>0</v>
      </c>
      <c r="S6" s="1">
        <f>'Valori input_2_40'!S7*'Valori input_2_40'!S$3*'Valori input_2_40'!$B$16*'Valori input_2_40'!$B$18</f>
        <v>0</v>
      </c>
      <c r="T6" s="1">
        <f>'Valori input_2_40'!T7*'Valori input_2_40'!T$3*'Valori input_2_40'!$B$16*'Valori input_2_40'!$B$18</f>
        <v>0</v>
      </c>
      <c r="U6" s="1">
        <f>'Valori input_2_40'!U7*'Valori input_2_40'!U$3*'Valori input_2_40'!$B$16*'Valori input_2_40'!$B$18</f>
        <v>0</v>
      </c>
      <c r="V6" s="1">
        <f>'Valori input_2_40'!V7*'Valori input_2_40'!V$3*'Valori input_2_40'!$B$16*'Valori input_2_40'!$B$18</f>
        <v>0</v>
      </c>
      <c r="W6" s="1">
        <f>'Valori input_2_40'!W7*'Valori input_2_40'!W$3*'Valori input_2_40'!$B$16*'Valori input_2_40'!$B$18</f>
        <v>0</v>
      </c>
      <c r="X6" s="1">
        <f>'Valori input_2_40'!X7*'Valori input_2_40'!X$3*'Valori input_2_40'!$B$16*'Valori input_2_40'!$B$18</f>
        <v>0</v>
      </c>
    </row>
    <row r="7" spans="1:24" x14ac:dyDescent="0.3">
      <c r="A7">
        <v>30</v>
      </c>
      <c r="B7" s="7">
        <f>'Valori input_2_40'!B8*'Valori input_2_40'!$B$18</f>
        <v>6.1957329562963903E-2</v>
      </c>
      <c r="C7" s="7">
        <f>'Valori input_2_40'!C8*'Valori input_2_40'!$B$18</f>
        <v>4.9453924003311125E-2</v>
      </c>
      <c r="D7" s="7">
        <f>'Valori input_2_40'!D8*'Valori input_2_40'!$B$18</f>
        <v>7.7996001031991946E-2</v>
      </c>
      <c r="E7" s="7">
        <f>'Valori input_2_40'!E8*'Valori input_2_40'!$B$18</f>
        <v>0.10484086654185686</v>
      </c>
      <c r="F7" s="7">
        <f>'Valori input_2_40'!F8*'Valori input_2_40'!$B$18</f>
        <v>4.9710209540794352E-2</v>
      </c>
      <c r="G7" s="7">
        <f>'Valori input_2_40'!G8*'Valori input_2_40'!$B$18</f>
        <v>5.2214826715630318E-2</v>
      </c>
      <c r="H7" s="7">
        <f>'Valori input_2_40'!H8*'Valori input_2_40'!$B$18</f>
        <v>1.9286504716235574E-2</v>
      </c>
      <c r="I7" s="7">
        <f>'Valori input_2_40'!I8*'Valori input_2_40'!$B$18</f>
        <v>9.1070073362009615E-3</v>
      </c>
      <c r="J7" s="7">
        <f>'Valori input_2_40'!J8*'Valori input_2_40'!$B$18</f>
        <v>2.4823564674786663E-2</v>
      </c>
      <c r="K7" s="7">
        <f>'Valori input_2_40'!K8*'Valori input_2_40'!$B$18</f>
        <v>2.7665503477017073E-2</v>
      </c>
      <c r="L7" s="7">
        <f>'Valori input_2_40'!L8*'Valori input_2_40'!$B$18</f>
        <v>2.0958929134904998E-2</v>
      </c>
      <c r="M7" s="1">
        <f>'Valori input_2_40'!M8*'Valori input_2_40'!M$3*'Valori input_2_40'!$B$16*'Valori input_2_40'!$B$18</f>
        <v>0</v>
      </c>
      <c r="N7" s="1">
        <f>'Valori input_2_40'!N8*'Valori input_2_40'!N$3*'Valori input_2_40'!$B$16*'Valori input_2_40'!$B$18</f>
        <v>0</v>
      </c>
      <c r="O7" s="1">
        <f>'Valori input_2_40'!O8*'Valori input_2_40'!O$3*'Valori input_2_40'!$B$16*'Valori input_2_40'!$B$18</f>
        <v>0</v>
      </c>
      <c r="P7" s="1">
        <f>'Valori input_2_40'!P8*'Valori input_2_40'!P$3*'Valori input_2_40'!$B$16*'Valori input_2_40'!$B$18</f>
        <v>0</v>
      </c>
      <c r="Q7" s="1">
        <f>'Valori input_2_40'!Q8*'Valori input_2_40'!Q$3*'Valori input_2_40'!$B$16*'Valori input_2_40'!$B$18</f>
        <v>0</v>
      </c>
      <c r="R7" s="1">
        <f>'Valori input_2_40'!R8*'Valori input_2_40'!R$3*'Valori input_2_40'!$B$16*'Valori input_2_40'!$B$18</f>
        <v>0</v>
      </c>
      <c r="S7" s="1">
        <f>'Valori input_2_40'!S8*'Valori input_2_40'!S$3*'Valori input_2_40'!$B$16*'Valori input_2_40'!$B$18</f>
        <v>0</v>
      </c>
      <c r="T7" s="1">
        <f>'Valori input_2_40'!T8*'Valori input_2_40'!T$3*'Valori input_2_40'!$B$16*'Valori input_2_40'!$B$18</f>
        <v>0</v>
      </c>
      <c r="U7" s="1">
        <f>'Valori input_2_40'!U8*'Valori input_2_40'!U$3*'Valori input_2_40'!$B$16*'Valori input_2_40'!$B$18</f>
        <v>0</v>
      </c>
      <c r="V7" s="1">
        <f>'Valori input_2_40'!V8*'Valori input_2_40'!V$3*'Valori input_2_40'!$B$16*'Valori input_2_40'!$B$18</f>
        <v>0</v>
      </c>
      <c r="W7" s="1">
        <f>'Valori input_2_40'!W8*'Valori input_2_40'!W$3*'Valori input_2_40'!$B$16*'Valori input_2_40'!$B$18</f>
        <v>0</v>
      </c>
      <c r="X7" s="1">
        <f>'Valori input_2_40'!X8*'Valori input_2_40'!X$3*'Valori input_2_40'!$B$16*'Valori input_2_40'!$B$18</f>
        <v>0</v>
      </c>
    </row>
    <row r="8" spans="1:24" x14ac:dyDescent="0.3">
      <c r="A8">
        <v>40</v>
      </c>
      <c r="B8" s="7">
        <f>'Valori input_2_40'!B9*'Valori input_2_40'!$B$18</f>
        <v>7.758261279388054E-2</v>
      </c>
      <c r="C8" s="7">
        <f>'Valori input_2_40'!C9*'Valori input_2_40'!$B$18</f>
        <v>6.5555822585382673E-2</v>
      </c>
      <c r="D8" s="7">
        <f>'Valori input_2_40'!D9*'Valori input_2_40'!$B$18</f>
        <v>0.1142447110423119</v>
      </c>
      <c r="E8" s="7">
        <f>'Valori input_2_40'!E9*'Valori input_2_40'!$B$18</f>
        <v>0.16870821075153827</v>
      </c>
      <c r="F8" s="7">
        <f>'Valori input_2_40'!F9*'Valori input_2_40'!$B$18</f>
        <v>6.3148844022674025E-2</v>
      </c>
      <c r="G8" s="7">
        <f>'Valori input_2_40'!G9*'Valori input_2_40'!$B$18</f>
        <v>7.1178563231581699E-2</v>
      </c>
      <c r="H8" s="7">
        <f>'Valori input_2_40'!H9*'Valori input_2_40'!$B$18</f>
        <v>2.5741687305686232E-2</v>
      </c>
      <c r="I8" s="7">
        <f>'Valori input_2_40'!I9*'Valori input_2_40'!$B$18</f>
        <v>1.2280661407907003E-2</v>
      </c>
      <c r="J8" s="7">
        <f>'Valori input_2_40'!J9*'Valori input_2_40'!$B$18</f>
        <v>3.3488650916919237E-2</v>
      </c>
      <c r="K8" s="7">
        <f>'Valori input_2_40'!K9*'Valori input_2_40'!$B$18</f>
        <v>3.5146737629604172E-2</v>
      </c>
      <c r="L8" s="7">
        <f>'Valori input_2_40'!L9*'Valori input_2_40'!$B$18</f>
        <v>2.3848670552871046E-2</v>
      </c>
      <c r="M8" s="1">
        <f>'Valori input_2_40'!M9*'Valori input_2_40'!M$3*'Valori input_2_40'!$B$16*'Valori input_2_40'!$B$18</f>
        <v>0</v>
      </c>
      <c r="N8" s="1">
        <f>'Valori input_2_40'!N9*'Valori input_2_40'!N$3*'Valori input_2_40'!$B$16*'Valori input_2_40'!$B$18</f>
        <v>0</v>
      </c>
      <c r="O8" s="1">
        <f>'Valori input_2_40'!O9*'Valori input_2_40'!O$3*'Valori input_2_40'!$B$16*'Valori input_2_40'!$B$18</f>
        <v>0</v>
      </c>
      <c r="P8" s="1">
        <f>'Valori input_2_40'!P9*'Valori input_2_40'!P$3*'Valori input_2_40'!$B$16*'Valori input_2_40'!$B$18</f>
        <v>0</v>
      </c>
      <c r="Q8" s="1">
        <f>'Valori input_2_40'!Q9*'Valori input_2_40'!Q$3*'Valori input_2_40'!$B$16*'Valori input_2_40'!$B$18</f>
        <v>0</v>
      </c>
      <c r="R8" s="1">
        <f>'Valori input_2_40'!R9*'Valori input_2_40'!R$3*'Valori input_2_40'!$B$16*'Valori input_2_40'!$B$18</f>
        <v>0</v>
      </c>
      <c r="S8" s="1">
        <f>'Valori input_2_40'!S9*'Valori input_2_40'!S$3*'Valori input_2_40'!$B$16*'Valori input_2_40'!$B$18</f>
        <v>0</v>
      </c>
      <c r="T8" s="1">
        <f>'Valori input_2_40'!T9*'Valori input_2_40'!T$3*'Valori input_2_40'!$B$16*'Valori input_2_40'!$B$18</f>
        <v>0</v>
      </c>
      <c r="U8" s="1">
        <f>'Valori input_2_40'!U9*'Valori input_2_40'!U$3*'Valori input_2_40'!$B$16*'Valori input_2_40'!$B$18</f>
        <v>0</v>
      </c>
      <c r="V8" s="1">
        <f>'Valori input_2_40'!V9*'Valori input_2_40'!V$3*'Valori input_2_40'!$B$16*'Valori input_2_40'!$B$18</f>
        <v>0</v>
      </c>
      <c r="W8" s="1">
        <f>'Valori input_2_40'!W9*'Valori input_2_40'!W$3*'Valori input_2_40'!$B$16*'Valori input_2_40'!$B$18</f>
        <v>0</v>
      </c>
      <c r="X8" s="1">
        <f>'Valori input_2_40'!X9*'Valori input_2_40'!X$3*'Valori input_2_40'!$B$16*'Valori input_2_40'!$B$18</f>
        <v>0</v>
      </c>
    </row>
    <row r="9" spans="1:24" x14ac:dyDescent="0.3">
      <c r="A9">
        <v>50</v>
      </c>
      <c r="B9" s="7">
        <f>'Valori input_2_40'!B10*'Valori input_2_40'!$B$18</f>
        <v>0.10074863595990385</v>
      </c>
      <c r="C9" s="7">
        <f>'Valori input_2_40'!C10*'Valori input_2_40'!$B$18</f>
        <v>8.5903495420438805E-2</v>
      </c>
      <c r="D9" s="7">
        <f>'Valori input_2_40'!D10*'Valori input_2_40'!$B$18</f>
        <v>0.17659958720330252</v>
      </c>
      <c r="E9" s="7">
        <f>'Valori input_2_40'!E10*'Valori input_2_40'!$B$18</f>
        <v>0.28464830168494298</v>
      </c>
      <c r="F9" s="7">
        <f>'Valori input_2_40'!F10*'Valori input_2_40'!$B$18</f>
        <v>7.7128845296478565E-2</v>
      </c>
      <c r="G9" s="7">
        <f>'Valori input_2_40'!G10*'Valori input_2_40'!$B$18</f>
        <v>9.3441588248795185E-2</v>
      </c>
      <c r="H9" s="7">
        <f>'Valori input_2_40'!H10*'Valori input_2_40'!$B$18</f>
        <v>4.0048479738631397E-2</v>
      </c>
      <c r="I9" s="7">
        <f>'Valori input_2_40'!I10*'Valori input_2_40'!$B$18</f>
        <v>1.7294114941471993E-2</v>
      </c>
      <c r="J9" s="7">
        <f>'Valori input_2_40'!J10*'Valori input_2_40'!$B$18</f>
        <v>4.5723316711627097E-2</v>
      </c>
      <c r="K9" s="7">
        <f>'Valori input_2_40'!K10*'Valori input_2_40'!$B$18</f>
        <v>4.3657269098486717E-2</v>
      </c>
      <c r="L9" s="7">
        <f>'Valori input_2_40'!L10*'Valori input_2_40'!$B$18</f>
        <v>3.1172670353578479E-2</v>
      </c>
      <c r="M9" s="1">
        <f>'Valori input_2_40'!M10*'Valori input_2_40'!M$3*'Valori input_2_40'!$B$16*'Valori input_2_40'!$B$18</f>
        <v>0</v>
      </c>
      <c r="N9" s="1">
        <f>'Valori input_2_40'!N10*'Valori input_2_40'!N$3*'Valori input_2_40'!$B$16*'Valori input_2_40'!$B$18</f>
        <v>0</v>
      </c>
      <c r="O9" s="1">
        <f>'Valori input_2_40'!O10*'Valori input_2_40'!O$3*'Valori input_2_40'!$B$16*'Valori input_2_40'!$B$18</f>
        <v>0</v>
      </c>
      <c r="P9" s="1">
        <f>'Valori input_2_40'!P10*'Valori input_2_40'!P$3*'Valori input_2_40'!$B$16*'Valori input_2_40'!$B$18</f>
        <v>0</v>
      </c>
      <c r="Q9" s="1">
        <f>'Valori input_2_40'!Q10*'Valori input_2_40'!Q$3*'Valori input_2_40'!$B$16*'Valori input_2_40'!$B$18</f>
        <v>0</v>
      </c>
      <c r="R9" s="1">
        <f>'Valori input_2_40'!R10*'Valori input_2_40'!R$3*'Valori input_2_40'!$B$16*'Valori input_2_40'!$B$18</f>
        <v>0</v>
      </c>
      <c r="S9" s="1">
        <f>'Valori input_2_40'!S10*'Valori input_2_40'!S$3*'Valori input_2_40'!$B$16*'Valori input_2_40'!$B$18</f>
        <v>0</v>
      </c>
      <c r="T9" s="1">
        <f>'Valori input_2_40'!T10*'Valori input_2_40'!T$3*'Valori input_2_40'!$B$16*'Valori input_2_40'!$B$18</f>
        <v>0</v>
      </c>
      <c r="U9" s="1">
        <f>'Valori input_2_40'!U10*'Valori input_2_40'!U$3*'Valori input_2_40'!$B$16*'Valori input_2_40'!$B$18</f>
        <v>0</v>
      </c>
      <c r="V9" s="1">
        <f>'Valori input_2_40'!V10*'Valori input_2_40'!V$3*'Valori input_2_40'!$B$16*'Valori input_2_40'!$B$18</f>
        <v>0</v>
      </c>
      <c r="W9" s="1">
        <f>'Valori input_2_40'!W10*'Valori input_2_40'!W$3*'Valori input_2_40'!$B$16*'Valori input_2_40'!$B$18</f>
        <v>0</v>
      </c>
      <c r="X9" s="1">
        <f>'Valori input_2_40'!X10*'Valori input_2_40'!X$3*'Valori input_2_40'!$B$16*'Valori input_2_40'!$B$18</f>
        <v>0</v>
      </c>
    </row>
    <row r="10" spans="1:24" x14ac:dyDescent="0.3">
      <c r="A10">
        <v>60</v>
      </c>
      <c r="B10" s="7">
        <f>'Valori input_2_40'!B11*'Valori input_2_40'!$B$18</f>
        <v>0.12744938097050829</v>
      </c>
      <c r="C10" s="7">
        <f>'Valori input_2_40'!C11*'Valori input_2_40'!$B$18</f>
        <v>0.10902827845870394</v>
      </c>
      <c r="D10" s="7">
        <f>'Valori input_2_40'!D11*'Valori input_2_40'!$B$18</f>
        <v>0.28973168214654316</v>
      </c>
      <c r="E10" s="7">
        <f>'Valori input_2_40'!E11*'Valori input_2_40'!$B$18</f>
        <v>0.47507354907729371</v>
      </c>
      <c r="F10" s="7">
        <f>'Valori input_2_40'!F11*'Valori input_2_40'!$B$18</f>
        <v>9.493025921915875E-2</v>
      </c>
      <c r="G10" s="7">
        <f>'Valori input_2_40'!G11*'Valori input_2_40'!$B$18</f>
        <v>0.12563116823502432</v>
      </c>
      <c r="H10" s="7">
        <f>'Valori input_2_40'!H11*'Valori input_2_40'!$B$18</f>
        <v>5.5461874901196362E-2</v>
      </c>
      <c r="I10" s="7">
        <f>'Valori input_2_40'!I11*'Valori input_2_40'!$B$18</f>
        <v>2.4768300255272657E-2</v>
      </c>
      <c r="J10" s="7">
        <f>'Valori input_2_40'!J11*'Valori input_2_40'!$B$18</f>
        <v>6.6323333060846437E-2</v>
      </c>
      <c r="K10" s="7">
        <f>'Valori input_2_40'!K11*'Valori input_2_40'!$B$18</f>
        <v>5.6184570582180744E-2</v>
      </c>
      <c r="L10" s="7">
        <f>'Valori input_2_40'!L11*'Valori input_2_40'!$B$18</f>
        <v>4.8560941989271814E-2</v>
      </c>
      <c r="M10" s="1">
        <f>'Valori input_2_40'!M11*'Valori input_2_40'!M$3*'Valori input_2_40'!$B$16*'Valori input_2_40'!$B$18</f>
        <v>0</v>
      </c>
      <c r="N10" s="1">
        <f>'Valori input_2_40'!N11*'Valori input_2_40'!N$3*'Valori input_2_40'!$B$16*'Valori input_2_40'!$B$18</f>
        <v>0</v>
      </c>
      <c r="O10" s="1">
        <f>'Valori input_2_40'!O11*'Valori input_2_40'!O$3*'Valori input_2_40'!$B$16*'Valori input_2_40'!$B$18</f>
        <v>0</v>
      </c>
      <c r="P10" s="1">
        <f>'Valori input_2_40'!P11*'Valori input_2_40'!P$3*'Valori input_2_40'!$B$16*'Valori input_2_40'!$B$18</f>
        <v>0</v>
      </c>
      <c r="Q10" s="1">
        <f>'Valori input_2_40'!Q11*'Valori input_2_40'!Q$3*'Valori input_2_40'!$B$16*'Valori input_2_40'!$B$18</f>
        <v>0</v>
      </c>
      <c r="R10" s="1">
        <f>'Valori input_2_40'!R11*'Valori input_2_40'!R$3*'Valori input_2_40'!$B$16*'Valori input_2_40'!$B$18</f>
        <v>0</v>
      </c>
      <c r="S10" s="1">
        <f>'Valori input_2_40'!S11*'Valori input_2_40'!S$3*'Valori input_2_40'!$B$16*'Valori input_2_40'!$B$18</f>
        <v>0</v>
      </c>
      <c r="T10" s="1">
        <f>'Valori input_2_40'!T11*'Valori input_2_40'!T$3*'Valori input_2_40'!$B$16*'Valori input_2_40'!$B$18</f>
        <v>0</v>
      </c>
      <c r="U10" s="1">
        <f>'Valori input_2_40'!U11*'Valori input_2_40'!U$3*'Valori input_2_40'!$B$16*'Valori input_2_40'!$B$18</f>
        <v>0</v>
      </c>
      <c r="V10" s="1">
        <f>'Valori input_2_40'!V11*'Valori input_2_40'!V$3*'Valori input_2_40'!$B$16*'Valori input_2_40'!$B$18</f>
        <v>0</v>
      </c>
      <c r="W10" s="1">
        <f>'Valori input_2_40'!W11*'Valori input_2_40'!W$3*'Valori input_2_40'!$B$16*'Valori input_2_40'!$B$18</f>
        <v>0</v>
      </c>
      <c r="X10" s="1">
        <f>'Valori input_2_40'!X11*'Valori input_2_40'!X$3*'Valori input_2_40'!$B$16*'Valori input_2_40'!$B$18</f>
        <v>0</v>
      </c>
    </row>
    <row r="11" spans="1:24" x14ac:dyDescent="0.3">
      <c r="A11">
        <v>70</v>
      </c>
      <c r="B11" s="7">
        <f>'Valori input_2_40'!B12*'Valori input_2_40'!$B$18</f>
        <v>0.15686914278463607</v>
      </c>
      <c r="C11" s="7">
        <f>'Valori input_2_40'!C12*'Valori input_2_40'!$B$18</f>
        <v>0.13573126118187412</v>
      </c>
      <c r="D11" s="7">
        <f>'Valori input_2_40'!D12*'Valori input_2_40'!$B$18</f>
        <v>0.39541408668730699</v>
      </c>
      <c r="E11" s="7">
        <f>'Valori input_2_40'!E12*'Valori input_2_40'!$B$18</f>
        <v>0.62693233484889066</v>
      </c>
      <c r="F11" s="7">
        <f>'Valori input_2_40'!F12*'Valori input_2_40'!$B$18</f>
        <v>0.1166804662123435</v>
      </c>
      <c r="G11" s="7">
        <f>'Valori input_2_40'!G12*'Valori input_2_40'!$B$18</f>
        <v>0.17362864356208393</v>
      </c>
      <c r="H11" s="7">
        <f>'Valori input_2_40'!H12*'Valori input_2_40'!$B$18</f>
        <v>9.2322284871159885E-2</v>
      </c>
      <c r="I11" s="7">
        <f>'Valori input_2_40'!I12*'Valori input_2_40'!$B$18</f>
        <v>3.6749994250627117E-2</v>
      </c>
      <c r="J11" s="7">
        <f>'Valori input_2_40'!J12*'Valori input_2_40'!$B$18</f>
        <v>0.10248235646747916</v>
      </c>
      <c r="K11" s="7">
        <f>'Valori input_2_40'!K12*'Valori input_2_40'!$B$18</f>
        <v>7.3531996083649284E-2</v>
      </c>
      <c r="L11" s="7">
        <f>'Valori input_2_40'!L12*'Valori input_2_40'!$B$18</f>
        <v>9.7669938385398988E-2</v>
      </c>
      <c r="M11" s="1">
        <f>'Valori input_2_40'!M12*'Valori input_2_40'!M$3*'Valori input_2_40'!$B$16*'Valori input_2_40'!$B$18</f>
        <v>0</v>
      </c>
      <c r="N11" s="1">
        <f>'Valori input_2_40'!N12*'Valori input_2_40'!N$3*'Valori input_2_40'!$B$16*'Valori input_2_40'!$B$18</f>
        <v>0</v>
      </c>
      <c r="O11" s="1">
        <f>'Valori input_2_40'!O12*'Valori input_2_40'!O$3*'Valori input_2_40'!$B$16*'Valori input_2_40'!$B$18</f>
        <v>0</v>
      </c>
      <c r="P11" s="1">
        <f>'Valori input_2_40'!P12*'Valori input_2_40'!P$3*'Valori input_2_40'!$B$16*'Valori input_2_40'!$B$18</f>
        <v>0</v>
      </c>
      <c r="Q11" s="1">
        <f>'Valori input_2_40'!Q12*'Valori input_2_40'!Q$3*'Valori input_2_40'!$B$16*'Valori input_2_40'!$B$18</f>
        <v>0</v>
      </c>
      <c r="R11" s="1">
        <f>'Valori input_2_40'!R12*'Valori input_2_40'!R$3*'Valori input_2_40'!$B$16*'Valori input_2_40'!$B$18</f>
        <v>0</v>
      </c>
      <c r="S11" s="1">
        <f>'Valori input_2_40'!S12*'Valori input_2_40'!S$3*'Valori input_2_40'!$B$16*'Valori input_2_40'!$B$18</f>
        <v>0</v>
      </c>
      <c r="T11" s="1">
        <f>'Valori input_2_40'!T12*'Valori input_2_40'!T$3*'Valori input_2_40'!$B$16*'Valori input_2_40'!$B$18</f>
        <v>0</v>
      </c>
      <c r="U11" s="1">
        <f>'Valori input_2_40'!U12*'Valori input_2_40'!U$3*'Valori input_2_40'!$B$16*'Valori input_2_40'!$B$18</f>
        <v>0</v>
      </c>
      <c r="V11" s="1">
        <f>'Valori input_2_40'!V12*'Valori input_2_40'!V$3*'Valori input_2_40'!$B$16*'Valori input_2_40'!$B$18</f>
        <v>0</v>
      </c>
      <c r="W11" s="1">
        <f>'Valori input_2_40'!W12*'Valori input_2_40'!W$3*'Valori input_2_40'!$B$16*'Valori input_2_40'!$B$18</f>
        <v>0</v>
      </c>
      <c r="X11" s="1">
        <f>'Valori input_2_40'!X12*'Valori input_2_40'!X$3*'Valori input_2_40'!$B$16*'Valori input_2_40'!$B$18</f>
        <v>0</v>
      </c>
    </row>
    <row r="12" spans="1:24" x14ac:dyDescent="0.3">
      <c r="A12">
        <v>80</v>
      </c>
      <c r="B12" s="7">
        <f>'Valori input_2_40'!B13*'Valori input_2_40'!$B$18</f>
        <v>0.20950930810085769</v>
      </c>
      <c r="C12" s="7">
        <f>'Valori input_2_40'!C13*'Valori input_2_40'!$B$18</f>
        <v>0.18913722662821447</v>
      </c>
      <c r="D12" s="7">
        <f>'Valori input_2_40'!D13*'Valori input_2_40'!$B$18</f>
        <v>0.55295407636738947</v>
      </c>
      <c r="E12" s="7">
        <f>'Valori input_2_40'!E13*'Valori input_2_40'!$B$18</f>
        <v>0.86755817063385987</v>
      </c>
      <c r="F12" s="7">
        <f>'Valori input_2_40'!F13*'Valori input_2_40'!$B$18</f>
        <v>0.16479842048277271</v>
      </c>
      <c r="G12" s="7">
        <f>'Valori input_2_40'!G13*'Valori input_2_40'!$B$18</f>
        <v>0.25932407619921977</v>
      </c>
      <c r="H12" s="7">
        <f>'Valori input_2_40'!H13*'Valori input_2_40'!$B$18</f>
        <v>0.14912789165832344</v>
      </c>
      <c r="I12" s="7">
        <f>'Valori input_2_40'!I13*'Valori input_2_40'!$B$18</f>
        <v>6.5266885909436245E-2</v>
      </c>
      <c r="J12" s="7">
        <f>'Valori input_2_40'!J13*'Valori input_2_40'!$B$18</f>
        <v>0.17128532112591674</v>
      </c>
      <c r="K12" s="7">
        <f>'Valori input_2_40'!K13*'Valori input_2_40'!$B$18</f>
        <v>9.9314638616222736E-2</v>
      </c>
      <c r="L12" s="7">
        <f>'Valori input_2_40'!L13*'Valori input_2_40'!$B$18</f>
        <v>0.47461511633700398</v>
      </c>
      <c r="M12" s="1">
        <f>'Valori input_2_40'!M13*'Valori input_2_40'!M$3*'Valori input_2_40'!$B$16*'Valori input_2_40'!$B$18</f>
        <v>0</v>
      </c>
      <c r="N12" s="1">
        <f>'Valori input_2_40'!N13*'Valori input_2_40'!N$3*'Valori input_2_40'!$B$16*'Valori input_2_40'!$B$18</f>
        <v>0</v>
      </c>
      <c r="O12" s="1">
        <f>'Valori input_2_40'!O13*'Valori input_2_40'!O$3*'Valori input_2_40'!$B$16*'Valori input_2_40'!$B$18</f>
        <v>0</v>
      </c>
      <c r="P12" s="1">
        <f>'Valori input_2_40'!P13*'Valori input_2_40'!P$3*'Valori input_2_40'!$B$16*'Valori input_2_40'!$B$18</f>
        <v>0</v>
      </c>
      <c r="Q12" s="1">
        <f>'Valori input_2_40'!Q13*'Valori input_2_40'!Q$3*'Valori input_2_40'!$B$16*'Valori input_2_40'!$B$18</f>
        <v>0</v>
      </c>
      <c r="R12" s="1">
        <f>'Valori input_2_40'!R13*'Valori input_2_40'!R$3*'Valori input_2_40'!$B$16*'Valori input_2_40'!$B$18</f>
        <v>0</v>
      </c>
      <c r="S12" s="1">
        <f>'Valori input_2_40'!S13*'Valori input_2_40'!S$3*'Valori input_2_40'!$B$16*'Valori input_2_40'!$B$18</f>
        <v>0</v>
      </c>
      <c r="T12" s="1">
        <f>'Valori input_2_40'!T13*'Valori input_2_40'!T$3*'Valori input_2_40'!$B$16*'Valori input_2_40'!$B$18</f>
        <v>0</v>
      </c>
      <c r="U12" s="1">
        <f>'Valori input_2_40'!U13*'Valori input_2_40'!U$3*'Valori input_2_40'!$B$16*'Valori input_2_40'!$B$18</f>
        <v>0</v>
      </c>
      <c r="V12" s="1">
        <f>'Valori input_2_40'!V13*'Valori input_2_40'!V$3*'Valori input_2_40'!$B$16*'Valori input_2_40'!$B$18</f>
        <v>0</v>
      </c>
      <c r="W12" s="1">
        <f>'Valori input_2_40'!W13*'Valori input_2_40'!W$3*'Valori input_2_40'!$B$16*'Valori input_2_40'!$B$18</f>
        <v>0</v>
      </c>
      <c r="X12" s="1">
        <f>'Valori input_2_40'!X13*'Valori input_2_40'!X$3*'Valori input_2_40'!$B$16*'Valori input_2_40'!$B$18</f>
        <v>0</v>
      </c>
    </row>
    <row r="15" spans="1:24" x14ac:dyDescent="0.3">
      <c r="B15" s="8">
        <v>3.0964556444688547E-2</v>
      </c>
      <c r="C15" s="8">
        <v>1.7534718288005745E-2</v>
      </c>
      <c r="D15" s="8">
        <v>0.11659474638153591</v>
      </c>
      <c r="E15" s="8">
        <v>0.11189055459642307</v>
      </c>
      <c r="F15" s="8">
        <v>1.3159302061178624E-2</v>
      </c>
      <c r="G15" s="8">
        <v>2.1001359022458248E-2</v>
      </c>
      <c r="H15" s="8">
        <v>1.4036608933796154E-2</v>
      </c>
      <c r="I15" s="8">
        <v>6.6026649915473046E-3</v>
      </c>
      <c r="J15" s="8">
        <v>1.4505474156629779E-2</v>
      </c>
      <c r="K15" s="8">
        <v>9.8463597153269668E-3</v>
      </c>
      <c r="L15" s="8">
        <v>5.3593492372356562E-2</v>
      </c>
    </row>
    <row r="16" spans="1:24" x14ac:dyDescent="0.3">
      <c r="B16" s="8">
        <v>7.3783221641536034</v>
      </c>
      <c r="C16" s="8">
        <v>7.6085547814419368</v>
      </c>
      <c r="D16" s="8">
        <v>1.0000000000000224</v>
      </c>
      <c r="E16" s="8">
        <v>1.0000000000000222</v>
      </c>
      <c r="F16" s="8">
        <v>7.894536982438348</v>
      </c>
      <c r="G16" s="8">
        <v>3.2931428107834444</v>
      </c>
      <c r="H16" s="8">
        <v>1.172684103817601</v>
      </c>
      <c r="I16" s="8">
        <v>1.3638904300879622</v>
      </c>
      <c r="J16" s="8">
        <v>1.5364728145695814</v>
      </c>
      <c r="K16" s="8">
        <v>7.6030143952765963</v>
      </c>
      <c r="L16" s="8">
        <v>1.0000000000000222</v>
      </c>
    </row>
    <row r="17" spans="2:12" x14ac:dyDescent="0.3">
      <c r="B17" s="8">
        <v>10.233962750909049</v>
      </c>
      <c r="C17" s="8">
        <v>12.264429306558181</v>
      </c>
      <c r="D17" s="8">
        <v>9.8877108717797118</v>
      </c>
      <c r="E17" s="8">
        <v>9.6810605691798166</v>
      </c>
      <c r="F17" s="8">
        <v>11.229844990779693</v>
      </c>
      <c r="G17" s="8">
        <v>17.360071208607188</v>
      </c>
      <c r="H17" s="8">
        <v>24.669088388718464</v>
      </c>
      <c r="I17" s="8">
        <v>86.460590293673491</v>
      </c>
      <c r="J17" s="8">
        <v>98.849198905882531</v>
      </c>
      <c r="K17" s="8">
        <v>12.251746315931928</v>
      </c>
      <c r="L17" s="8">
        <v>109.12270231096483</v>
      </c>
    </row>
    <row r="18" spans="2:12" x14ac:dyDescent="0.3">
      <c r="B18" s="8">
        <v>2.3887288003677742</v>
      </c>
      <c r="C18" s="8">
        <v>2.7847206770015385</v>
      </c>
      <c r="D18" s="8">
        <v>3.7253401192728841</v>
      </c>
      <c r="E18" s="8">
        <v>6.3391206150803834</v>
      </c>
      <c r="F18" s="8">
        <v>5.2949707943903173</v>
      </c>
      <c r="G18" s="8">
        <v>2.5313633397135682</v>
      </c>
      <c r="H18" s="8">
        <v>3.7793059801912849</v>
      </c>
      <c r="I18" s="8">
        <v>4.7668842637652951</v>
      </c>
      <c r="J18" s="8">
        <v>3.4329840265175751</v>
      </c>
      <c r="K18" s="8">
        <v>1.4008832547876964</v>
      </c>
      <c r="L18" s="8">
        <v>76.522390443520891</v>
      </c>
    </row>
    <row r="19" spans="2:12" x14ac:dyDescent="0.3">
      <c r="B19" s="8">
        <v>0.99824004074923012</v>
      </c>
      <c r="C19" s="8">
        <v>0.997818188477129</v>
      </c>
      <c r="D19" s="8">
        <v>0.99803466677599451</v>
      </c>
      <c r="E19" s="8">
        <v>0.99462221760283898</v>
      </c>
      <c r="F19" s="8">
        <v>0.99168113718950801</v>
      </c>
      <c r="G19" s="8">
        <v>0.99884371222145951</v>
      </c>
      <c r="H19" s="8">
        <v>0.99827858857140328</v>
      </c>
      <c r="I19" s="8">
        <v>0.99712919096280461</v>
      </c>
      <c r="J19" s="8">
        <v>0.99845341680458588</v>
      </c>
      <c r="K19" s="8">
        <v>0.99944881562253063</v>
      </c>
      <c r="L19" s="8">
        <v>0.77992212669026362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zoomScale="92" workbookViewId="0">
      <selection activeCell="E5" sqref="E5:E10"/>
    </sheetView>
  </sheetViews>
  <sheetFormatPr defaultRowHeight="14.4" x14ac:dyDescent="0.3"/>
  <cols>
    <col min="1" max="1" width="15.33203125" bestFit="1" customWidth="1"/>
    <col min="2" max="2" width="11" bestFit="1" customWidth="1"/>
  </cols>
  <sheetData>
    <row r="1" spans="1:24" x14ac:dyDescent="0.3"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  <c r="G1" s="3" t="s">
        <v>132</v>
      </c>
      <c r="H1" s="3" t="s">
        <v>133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140</v>
      </c>
      <c r="P1" s="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  <c r="V1" s="3" t="s">
        <v>147</v>
      </c>
      <c r="W1" s="3" t="s">
        <v>148</v>
      </c>
      <c r="X1" s="3" t="s">
        <v>149</v>
      </c>
    </row>
    <row r="2" spans="1:24" x14ac:dyDescent="0.3">
      <c r="A2" t="s">
        <v>150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3">
      <c r="A3" t="s">
        <v>151</v>
      </c>
      <c r="B3">
        <v>622.53</v>
      </c>
      <c r="C3">
        <v>502.15</v>
      </c>
      <c r="D3">
        <v>969.51</v>
      </c>
      <c r="E3">
        <v>698.81</v>
      </c>
      <c r="F3">
        <v>697.02</v>
      </c>
      <c r="G3">
        <v>483.36</v>
      </c>
      <c r="H3">
        <v>566.07000000000005</v>
      </c>
      <c r="I3">
        <v>665.17</v>
      </c>
      <c r="J3">
        <v>486.02</v>
      </c>
      <c r="K3">
        <v>489.88</v>
      </c>
      <c r="L3">
        <v>296.66000000000003</v>
      </c>
      <c r="M3">
        <v>726.17</v>
      </c>
    </row>
    <row r="4" spans="1:24" x14ac:dyDescent="0.3">
      <c r="A4" s="3" t="s">
        <v>0</v>
      </c>
      <c r="B4" s="3" t="s">
        <v>152</v>
      </c>
      <c r="C4" s="3" t="s">
        <v>152</v>
      </c>
      <c r="D4" s="3" t="s">
        <v>152</v>
      </c>
      <c r="E4" s="3" t="s">
        <v>152</v>
      </c>
      <c r="F4" s="3" t="s">
        <v>152</v>
      </c>
      <c r="G4" s="3" t="s">
        <v>152</v>
      </c>
      <c r="H4" s="3" t="s">
        <v>152</v>
      </c>
      <c r="I4" s="3" t="s">
        <v>152</v>
      </c>
      <c r="J4" s="3" t="s">
        <v>152</v>
      </c>
      <c r="K4" s="3" t="s">
        <v>152</v>
      </c>
      <c r="L4" s="3" t="s">
        <v>152</v>
      </c>
      <c r="M4" s="3" t="s">
        <v>152</v>
      </c>
      <c r="N4" s="3" t="s">
        <v>152</v>
      </c>
      <c r="O4" s="3" t="s">
        <v>152</v>
      </c>
      <c r="P4" s="3" t="s">
        <v>152</v>
      </c>
      <c r="Q4" s="3" t="s">
        <v>152</v>
      </c>
      <c r="R4" s="3" t="s">
        <v>152</v>
      </c>
      <c r="S4" s="3" t="s">
        <v>152</v>
      </c>
      <c r="T4" s="3" t="s">
        <v>152</v>
      </c>
      <c r="U4" s="3" t="s">
        <v>152</v>
      </c>
      <c r="V4" s="3" t="s">
        <v>152</v>
      </c>
      <c r="W4" s="3" t="s">
        <v>152</v>
      </c>
      <c r="X4" s="3" t="s">
        <v>152</v>
      </c>
    </row>
    <row r="5" spans="1:24" x14ac:dyDescent="0.3">
      <c r="A5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>
        <v>10</v>
      </c>
      <c r="B6" s="2">
        <v>4.9218511557676461</v>
      </c>
      <c r="C6" s="2">
        <v>6.0460021905805519</v>
      </c>
      <c r="D6" s="2">
        <v>3.7255933409660789</v>
      </c>
      <c r="E6" s="2">
        <v>4.6421774158927729</v>
      </c>
      <c r="F6" s="2">
        <v>3.0415196120628045</v>
      </c>
      <c r="G6" s="2">
        <v>1.7626613704071461</v>
      </c>
      <c r="H6" s="2">
        <v>1.0122423021887985</v>
      </c>
      <c r="I6" s="2">
        <v>0.4735631492701422</v>
      </c>
      <c r="J6" s="2">
        <v>1.9237891444796558</v>
      </c>
      <c r="K6" s="2">
        <v>2.2025802237282992</v>
      </c>
      <c r="L6" s="2">
        <v>1.7494775163487386</v>
      </c>
      <c r="M6" s="2">
        <v>1.5382073068290365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A7">
        <v>20</v>
      </c>
      <c r="B7" s="2">
        <v>9.699130965575975</v>
      </c>
      <c r="C7" s="2">
        <v>12.235387832321077</v>
      </c>
      <c r="D7" s="2">
        <v>6.5001908180421255</v>
      </c>
      <c r="E7" s="2">
        <v>6.9146119832286876</v>
      </c>
      <c r="F7" s="2">
        <v>5.1605405870706926</v>
      </c>
      <c r="G7" s="2">
        <v>6.9347898047004497</v>
      </c>
      <c r="H7" s="2">
        <v>1.7383009168477852</v>
      </c>
      <c r="I7" s="2">
        <v>0.7561976637551775</v>
      </c>
      <c r="J7" s="2">
        <v>2.9813587918192921</v>
      </c>
      <c r="K7" s="2">
        <v>3.2130317628807421</v>
      </c>
      <c r="L7" s="2">
        <v>2.7877030944515928</v>
      </c>
      <c r="M7" s="2">
        <v>2.7651927234670097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A8">
        <v>30</v>
      </c>
      <c r="B8" s="2">
        <v>11.801840875138589</v>
      </c>
      <c r="C8" s="2">
        <v>18.247535596933233</v>
      </c>
      <c r="D8" s="2">
        <v>9.3232663923012762</v>
      </c>
      <c r="E8" s="2">
        <v>9.8395844363990683</v>
      </c>
      <c r="F8" s="2">
        <v>7.4574617658029929</v>
      </c>
      <c r="G8" s="2">
        <v>9.5642999006951595</v>
      </c>
      <c r="H8" s="2">
        <v>2.3654318370519722</v>
      </c>
      <c r="I8" s="2">
        <v>0.98471067546646662</v>
      </c>
      <c r="J8" s="2">
        <v>3.9093041438624279</v>
      </c>
      <c r="K8" s="2">
        <v>4.1050869600718922</v>
      </c>
      <c r="L8" s="2">
        <v>3.7248028045574477</v>
      </c>
      <c r="M8" s="2">
        <v>3.4303262321495551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A9">
        <v>40</v>
      </c>
      <c r="B9" s="2">
        <v>13.331084445729545</v>
      </c>
      <c r="C9" s="2">
        <v>25.956387533605547</v>
      </c>
      <c r="D9" s="2">
        <v>12.639374529401447</v>
      </c>
      <c r="E9" s="2">
        <v>12.554199281635961</v>
      </c>
      <c r="F9" s="2">
        <v>9.4803592436372046</v>
      </c>
      <c r="G9" s="2">
        <v>12.305527970870598</v>
      </c>
      <c r="H9" s="2">
        <v>2.9907961912837746</v>
      </c>
      <c r="I9" s="2">
        <v>1.2057068117924885</v>
      </c>
      <c r="J9" s="2">
        <v>4.8475371383893791</v>
      </c>
      <c r="K9" s="2">
        <v>4.9828529435780586</v>
      </c>
      <c r="L9" s="2">
        <v>4.6147104429313393</v>
      </c>
      <c r="M9" s="2">
        <v>4.4314692151975832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A10">
        <v>50</v>
      </c>
      <c r="B10" s="2">
        <v>15.629768846481324</v>
      </c>
      <c r="C10" s="2">
        <v>32.912476351687765</v>
      </c>
      <c r="D10" s="2">
        <v>17.121019896648821</v>
      </c>
      <c r="E10" s="2">
        <v>16.588199939897855</v>
      </c>
      <c r="F10" s="2">
        <v>11.595076181458232</v>
      </c>
      <c r="G10" s="2">
        <v>15.50810989738498</v>
      </c>
      <c r="H10" s="2">
        <v>4.0666348684792002</v>
      </c>
      <c r="I10" s="2">
        <v>1.5244223281266764</v>
      </c>
      <c r="J10" s="2">
        <v>5.9133368997160636</v>
      </c>
      <c r="K10" s="2">
        <v>5.9606434228791052</v>
      </c>
      <c r="L10" s="2">
        <v>5.5888896379694444</v>
      </c>
      <c r="M10" s="2">
        <v>5.4298580222262407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A11">
        <v>60</v>
      </c>
      <c r="B11" s="2">
        <v>22.511364914140721</v>
      </c>
      <c r="C11" s="2">
        <v>41.646918251518493</v>
      </c>
      <c r="D11" s="2">
        <v>26.637167228806305</v>
      </c>
      <c r="E11" s="2">
        <v>32.855854953420852</v>
      </c>
      <c r="F11" s="2">
        <v>14.17032509827553</v>
      </c>
      <c r="G11" s="2">
        <v>19.823733862959319</v>
      </c>
      <c r="H11" s="2">
        <v>5.0841768685851925</v>
      </c>
      <c r="I11" s="2">
        <v>1.9438639746230384</v>
      </c>
      <c r="J11" s="2">
        <v>7.2877659355582232</v>
      </c>
      <c r="K11" s="2">
        <v>7.358945047766837</v>
      </c>
      <c r="L11" s="2">
        <v>6.9102676464639829</v>
      </c>
      <c r="M11" s="2">
        <v>6.8744233443959981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A12">
        <v>70</v>
      </c>
      <c r="B12" s="2">
        <v>26.649318105151597</v>
      </c>
      <c r="C12" s="2">
        <v>53.912177636164522</v>
      </c>
      <c r="D12" s="2">
        <v>35.832533960454256</v>
      </c>
      <c r="E12" s="2">
        <v>42.572373034158119</v>
      </c>
      <c r="F12" s="2">
        <v>18.325155662678295</v>
      </c>
      <c r="G12" s="2">
        <v>26.770936775902037</v>
      </c>
      <c r="H12" s="2">
        <v>11.403183351882287</v>
      </c>
      <c r="I12" s="2">
        <v>3.2427800411925189</v>
      </c>
      <c r="J12" s="2">
        <v>9.3802724167729803</v>
      </c>
      <c r="K12" s="2">
        <v>9.5370294766065449</v>
      </c>
      <c r="L12" s="2">
        <v>8.6091822288141362</v>
      </c>
      <c r="M12" s="2">
        <v>9.8585730614043907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A13">
        <v>80</v>
      </c>
      <c r="B13" s="2">
        <v>33.026520810242118</v>
      </c>
      <c r="C13" s="2">
        <v>74.418002588867907</v>
      </c>
      <c r="D13" s="2">
        <v>48.149064991593704</v>
      </c>
      <c r="E13" s="2">
        <v>56.133999227257803</v>
      </c>
      <c r="F13" s="2">
        <v>26.616165963673957</v>
      </c>
      <c r="G13" s="2">
        <v>39.202664680569349</v>
      </c>
      <c r="H13" s="2">
        <v>20.213047856272205</v>
      </c>
      <c r="I13" s="2">
        <v>7.256791496910596</v>
      </c>
      <c r="J13" s="2">
        <v>13.092053824945499</v>
      </c>
      <c r="K13" s="2">
        <v>13.33387768433089</v>
      </c>
      <c r="L13" s="2">
        <v>11.51486550259559</v>
      </c>
      <c r="M13" s="2">
        <v>23.774047399369341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A14">
        <v>90</v>
      </c>
      <c r="B14" s="2">
        <v>46.666024127351349</v>
      </c>
      <c r="C14" s="2">
        <v>109.377675993229</v>
      </c>
      <c r="D14" s="2">
        <v>67.504203154170696</v>
      </c>
      <c r="E14" s="2">
        <v>78.89984402054931</v>
      </c>
      <c r="F14" s="2">
        <v>40.59137470947752</v>
      </c>
      <c r="G14" s="2">
        <v>61.316617014233692</v>
      </c>
      <c r="H14" s="2">
        <v>23.145547370466563</v>
      </c>
      <c r="I14" s="2">
        <v>8.9931897109009977</v>
      </c>
      <c r="J14" s="2">
        <v>18.894284185836003</v>
      </c>
      <c r="K14" s="2">
        <v>18.545358046868675</v>
      </c>
      <c r="L14" s="2">
        <v>16.314973370188142</v>
      </c>
      <c r="M14" s="2">
        <v>58.74519740556623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6" spans="1:24" x14ac:dyDescent="0.3">
      <c r="A16" s="14" t="s">
        <v>153</v>
      </c>
      <c r="B16" s="4">
        <v>1E-3</v>
      </c>
    </row>
    <row r="17" spans="1:3" x14ac:dyDescent="0.3">
      <c r="A17" s="14"/>
    </row>
    <row r="18" spans="1:3" x14ac:dyDescent="0.3">
      <c r="A18" s="14" t="s">
        <v>154</v>
      </c>
      <c r="B18">
        <v>0.01</v>
      </c>
    </row>
    <row r="19" spans="1:3" x14ac:dyDescent="0.3">
      <c r="A19" s="14"/>
    </row>
    <row r="21" spans="1:3" x14ac:dyDescent="0.3">
      <c r="A21" t="s">
        <v>155</v>
      </c>
      <c r="B21" s="15" t="s">
        <v>161</v>
      </c>
      <c r="C21" s="15"/>
    </row>
    <row r="22" spans="1:3" x14ac:dyDescent="0.3">
      <c r="A22" t="s">
        <v>157</v>
      </c>
      <c r="B22">
        <v>20</v>
      </c>
    </row>
    <row r="26" spans="1:3" x14ac:dyDescent="0.3">
      <c r="B26" s="9"/>
    </row>
    <row r="27" spans="1:3" x14ac:dyDescent="0.3">
      <c r="B27" s="9"/>
    </row>
    <row r="28" spans="1:3" x14ac:dyDescent="0.3">
      <c r="B28" s="9"/>
    </row>
    <row r="29" spans="1:3" x14ac:dyDescent="0.3">
      <c r="B29" s="9"/>
    </row>
    <row r="30" spans="1:3" x14ac:dyDescent="0.3">
      <c r="B30" s="9"/>
    </row>
    <row r="31" spans="1:3" x14ac:dyDescent="0.3">
      <c r="B31" s="9"/>
    </row>
    <row r="32" spans="1:3" x14ac:dyDescent="0.3">
      <c r="B32" s="9"/>
    </row>
    <row r="33" spans="2:2" x14ac:dyDescent="0.3">
      <c r="B33" s="9"/>
    </row>
    <row r="34" spans="2:2" x14ac:dyDescent="0.3">
      <c r="B34" s="9"/>
    </row>
  </sheetData>
  <mergeCells count="3">
    <mergeCell ref="A16:A17"/>
    <mergeCell ref="A18:A19"/>
    <mergeCell ref="B21:C2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D285-972C-499B-BFD4-89640E225766}">
  <dimension ref="A1:X22"/>
  <sheetViews>
    <sheetView workbookViewId="0">
      <selection activeCell="B6" sqref="B6"/>
    </sheetView>
  </sheetViews>
  <sheetFormatPr defaultRowHeight="14.4" x14ac:dyDescent="0.3"/>
  <cols>
    <col min="1" max="1" width="15.33203125" bestFit="1" customWidth="1"/>
    <col min="2" max="2" width="11" bestFit="1" customWidth="1"/>
    <col min="13" max="13" width="10" bestFit="1" customWidth="1"/>
  </cols>
  <sheetData>
    <row r="1" spans="1:24" x14ac:dyDescent="0.3"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  <c r="G1" s="3" t="s">
        <v>132</v>
      </c>
      <c r="H1" s="3" t="s">
        <v>133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140</v>
      </c>
      <c r="P1" s="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  <c r="V1" s="3" t="s">
        <v>147</v>
      </c>
      <c r="W1" s="3" t="s">
        <v>148</v>
      </c>
      <c r="X1" s="3" t="s">
        <v>149</v>
      </c>
    </row>
    <row r="2" spans="1:24" x14ac:dyDescent="0.3">
      <c r="A2" t="s">
        <v>150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3">
      <c r="A3" t="s">
        <v>151</v>
      </c>
      <c r="B3">
        <v>437.18</v>
      </c>
      <c r="C3">
        <v>305.31</v>
      </c>
      <c r="D3">
        <v>468.33</v>
      </c>
      <c r="E3">
        <v>296.61</v>
      </c>
      <c r="F3">
        <v>464.38</v>
      </c>
      <c r="G3">
        <v>302.94</v>
      </c>
      <c r="H3">
        <v>344.94</v>
      </c>
      <c r="I3">
        <v>403.77</v>
      </c>
      <c r="J3">
        <v>351.67</v>
      </c>
      <c r="K3">
        <v>292.43000000000006</v>
      </c>
      <c r="L3">
        <v>314.64</v>
      </c>
      <c r="M3">
        <v>546.45000000000005</v>
      </c>
    </row>
    <row r="4" spans="1:24" x14ac:dyDescent="0.3">
      <c r="A4" s="3" t="s">
        <v>0</v>
      </c>
      <c r="B4" s="3" t="s">
        <v>152</v>
      </c>
      <c r="C4" s="3" t="s">
        <v>152</v>
      </c>
      <c r="D4" s="3" t="s">
        <v>152</v>
      </c>
      <c r="E4" s="3" t="s">
        <v>152</v>
      </c>
      <c r="F4" s="3" t="s">
        <v>152</v>
      </c>
      <c r="G4" s="3" t="s">
        <v>152</v>
      </c>
      <c r="H4" s="3" t="s">
        <v>152</v>
      </c>
      <c r="I4" s="3" t="s">
        <v>152</v>
      </c>
      <c r="J4" s="3" t="s">
        <v>152</v>
      </c>
      <c r="K4" s="3" t="s">
        <v>152</v>
      </c>
      <c r="L4" s="3" t="s">
        <v>152</v>
      </c>
      <c r="M4" s="3" t="s">
        <v>152</v>
      </c>
      <c r="N4" s="3" t="s">
        <v>152</v>
      </c>
      <c r="O4" s="3" t="s">
        <v>152</v>
      </c>
      <c r="P4" s="3" t="s">
        <v>152</v>
      </c>
      <c r="Q4" s="3" t="s">
        <v>152</v>
      </c>
      <c r="R4" s="3" t="s">
        <v>152</v>
      </c>
      <c r="S4" s="3" t="s">
        <v>152</v>
      </c>
      <c r="T4" s="3" t="s">
        <v>152</v>
      </c>
      <c r="U4" s="3" t="s">
        <v>152</v>
      </c>
      <c r="V4" s="3" t="s">
        <v>152</v>
      </c>
      <c r="W4" s="3" t="s">
        <v>152</v>
      </c>
      <c r="X4" s="3" t="s">
        <v>152</v>
      </c>
    </row>
    <row r="5" spans="1:24" x14ac:dyDescent="0.3">
      <c r="A5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>
        <v>10</v>
      </c>
      <c r="B6" s="2">
        <v>3.7192918248776357</v>
      </c>
      <c r="C6" s="2">
        <v>4.0581703841997356</v>
      </c>
      <c r="D6" s="2">
        <v>3.0277795571499229</v>
      </c>
      <c r="E6" s="2">
        <v>3.8940022251441513</v>
      </c>
      <c r="F6" s="2">
        <v>2.704681510831684</v>
      </c>
      <c r="G6" s="2">
        <v>1.4689377434475623</v>
      </c>
      <c r="H6" s="5">
        <v>0.66968168377114068</v>
      </c>
      <c r="I6" s="2">
        <v>0.3194888178913789</v>
      </c>
      <c r="J6" s="2">
        <v>1.4047260215543136</v>
      </c>
      <c r="K6" s="2">
        <v>1.5259829529833053</v>
      </c>
      <c r="L6" s="2">
        <v>1.3221459445715638</v>
      </c>
      <c r="M6" s="5">
        <v>1.5847744532894075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A7">
        <v>20</v>
      </c>
      <c r="B7" s="2">
        <v>8.161398051145996</v>
      </c>
      <c r="C7" s="2">
        <v>9.681962595394884</v>
      </c>
      <c r="D7" s="2">
        <v>5.3381162855251754</v>
      </c>
      <c r="E7" s="2">
        <v>5.7954890259937093</v>
      </c>
      <c r="F7" s="2">
        <v>4.5759937981825232</v>
      </c>
      <c r="G7" s="2">
        <v>5.2815739090248899</v>
      </c>
      <c r="H7" s="5">
        <v>1.2291992810344348</v>
      </c>
      <c r="I7" s="2">
        <v>0.55972459568568855</v>
      </c>
      <c r="J7" s="2">
        <v>2.2350499047402757</v>
      </c>
      <c r="K7" s="2">
        <v>2.4230134726423698</v>
      </c>
      <c r="L7" s="2">
        <v>2.145308924485144</v>
      </c>
      <c r="M7" s="5">
        <v>2.4796413212553672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A8">
        <v>30</v>
      </c>
      <c r="B8" s="2">
        <v>10.496820531588842</v>
      </c>
      <c r="C8" s="2">
        <v>14.922537748517938</v>
      </c>
      <c r="D8" s="2">
        <v>7.9666047445177801</v>
      </c>
      <c r="E8" s="2">
        <v>9.0826337615050434</v>
      </c>
      <c r="F8" s="2">
        <v>6.7595503682329223</v>
      </c>
      <c r="G8" s="2">
        <v>7.4965339671221969</v>
      </c>
      <c r="H8" s="5">
        <v>1.6959471212385488</v>
      </c>
      <c r="I8" s="2">
        <v>0.73309062089804511</v>
      </c>
      <c r="J8" s="2">
        <v>2.9231950408053571</v>
      </c>
      <c r="K8" s="2">
        <v>3.0863348913940905</v>
      </c>
      <c r="L8" s="2">
        <v>2.838164251207786</v>
      </c>
      <c r="M8" s="5">
        <v>3.1768688809588981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A9">
        <v>40</v>
      </c>
      <c r="B9" s="2">
        <v>12.713298870030673</v>
      </c>
      <c r="C9" s="2">
        <v>24.263862958959812</v>
      </c>
      <c r="D9" s="2">
        <v>12.514679819785233</v>
      </c>
      <c r="E9" s="2">
        <v>12.103435487677414</v>
      </c>
      <c r="F9" s="2">
        <v>9.3802489340626334</v>
      </c>
      <c r="G9" s="2">
        <v>10.24955436720143</v>
      </c>
      <c r="H9" s="5">
        <v>2.6352409114629216</v>
      </c>
      <c r="I9" s="2">
        <v>1.0005696312257029</v>
      </c>
      <c r="J9" s="2">
        <v>4.3193903375323934</v>
      </c>
      <c r="K9" s="2">
        <v>4.5298322793511945</v>
      </c>
      <c r="L9" s="2">
        <v>4.2397660818713918</v>
      </c>
      <c r="M9" s="5">
        <v>4.1870253454112687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A10">
        <v>50</v>
      </c>
      <c r="B10" s="2">
        <v>17.697515897342072</v>
      </c>
      <c r="C10" s="2">
        <v>30.444466280174304</v>
      </c>
      <c r="D10" s="2">
        <v>15.723955330642934</v>
      </c>
      <c r="E10" s="2">
        <v>16.263780722160398</v>
      </c>
      <c r="F10" s="2">
        <v>11.081441922563426</v>
      </c>
      <c r="G10" s="2">
        <v>12.873836403248205</v>
      </c>
      <c r="H10" s="5">
        <v>3.0121180495159363</v>
      </c>
      <c r="I10" s="2">
        <v>1.1268791638804299</v>
      </c>
      <c r="J10" s="2">
        <v>4.9478203998066945</v>
      </c>
      <c r="K10" s="2">
        <v>5.1312895243332832</v>
      </c>
      <c r="L10" s="2">
        <v>4.8849478769387797</v>
      </c>
      <c r="M10" s="5">
        <v>4.5859639491261674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A11">
        <v>60</v>
      </c>
      <c r="B11" s="2">
        <v>21.531177089528377</v>
      </c>
      <c r="C11" s="2">
        <v>38.639415675870495</v>
      </c>
      <c r="D11" s="2">
        <v>24.32259304336689</v>
      </c>
      <c r="E11" s="2">
        <v>31.967903981659436</v>
      </c>
      <c r="F11" s="2">
        <v>13.456651879925925</v>
      </c>
      <c r="G11" s="2">
        <v>16.762395193767752</v>
      </c>
      <c r="H11" s="5">
        <v>4.3050965385284954</v>
      </c>
      <c r="I11" s="2">
        <v>1.5479109393962049</v>
      </c>
      <c r="J11" s="2">
        <v>6.2132112491824953</v>
      </c>
      <c r="K11" s="2">
        <v>6.3651361011823262</v>
      </c>
      <c r="L11" s="2">
        <v>6.1212814645309264</v>
      </c>
      <c r="M11" s="5">
        <v>6.2475981334065089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A12">
        <v>70</v>
      </c>
      <c r="B12" s="2">
        <v>26.867651768150413</v>
      </c>
      <c r="C12" s="2">
        <v>50.109724542268538</v>
      </c>
      <c r="D12" s="2">
        <v>33.427284179958605</v>
      </c>
      <c r="E12" s="2">
        <v>43.07339604194059</v>
      </c>
      <c r="F12" s="2">
        <v>16.755674232309733</v>
      </c>
      <c r="G12" s="2">
        <v>23.27853700402725</v>
      </c>
      <c r="H12" s="5">
        <v>9.2334898822984606</v>
      </c>
      <c r="I12" s="2">
        <v>2.1893652326820083</v>
      </c>
      <c r="J12" s="2">
        <v>8.155372934853748</v>
      </c>
      <c r="K12" s="2">
        <v>8.4513335166346391</v>
      </c>
      <c r="L12" s="2">
        <v>7.7771421306890502</v>
      </c>
      <c r="M12" s="5">
        <v>11.117211089761165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A13">
        <v>80</v>
      </c>
      <c r="B13" s="2">
        <v>35.953154307150427</v>
      </c>
      <c r="C13" s="2">
        <v>69.463823654646134</v>
      </c>
      <c r="D13" s="2">
        <v>46.537697777208429</v>
      </c>
      <c r="E13" s="2">
        <v>58.59546205454977</v>
      </c>
      <c r="F13" s="2">
        <v>24.342133597484835</v>
      </c>
      <c r="G13" s="2">
        <v>34.528289430250219</v>
      </c>
      <c r="H13" s="5">
        <v>19.974488316808813</v>
      </c>
      <c r="I13" s="2">
        <v>6.8999678034525056</v>
      </c>
      <c r="J13" s="2">
        <v>12.341115250092425</v>
      </c>
      <c r="K13" s="2">
        <v>12.087572174869463</v>
      </c>
      <c r="L13" s="2">
        <v>10.72654462242563</v>
      </c>
      <c r="M13" s="5">
        <v>47.431603989385998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A14">
        <v>90</v>
      </c>
      <c r="B14" s="2">
        <v>56.997117891943837</v>
      </c>
      <c r="C14" s="2">
        <v>114.22816154072916</v>
      </c>
      <c r="D14" s="2">
        <v>73.943586787094617</v>
      </c>
      <c r="E14" s="2">
        <v>92.154681231246428</v>
      </c>
      <c r="F14" s="2">
        <v>41.166716912873099</v>
      </c>
      <c r="G14" s="2">
        <v>59.38799762329176</v>
      </c>
      <c r="H14" s="5">
        <v>22.685104655882249</v>
      </c>
      <c r="I14" s="2">
        <v>8.0639968298784268</v>
      </c>
      <c r="J14" s="2">
        <v>17.5192652202349</v>
      </c>
      <c r="K14" s="2">
        <v>16.971405004124353</v>
      </c>
      <c r="L14" s="2">
        <v>15.045766590389011</v>
      </c>
      <c r="M14" s="5">
        <v>87.764662823680112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6" spans="1:24" x14ac:dyDescent="0.3">
      <c r="A16" s="14" t="s">
        <v>153</v>
      </c>
      <c r="B16" s="4">
        <v>1E-3</v>
      </c>
    </row>
    <row r="17" spans="1:4" x14ac:dyDescent="0.3">
      <c r="A17" s="14"/>
    </row>
    <row r="18" spans="1:4" x14ac:dyDescent="0.3">
      <c r="A18" s="14" t="s">
        <v>154</v>
      </c>
      <c r="B18">
        <v>0.01</v>
      </c>
    </row>
    <row r="19" spans="1:4" x14ac:dyDescent="0.3">
      <c r="A19" s="14"/>
    </row>
    <row r="21" spans="1:4" x14ac:dyDescent="0.3">
      <c r="A21" t="s">
        <v>155</v>
      </c>
      <c r="B21" s="15" t="s">
        <v>162</v>
      </c>
      <c r="C21" s="15"/>
      <c r="D21" s="15"/>
    </row>
    <row r="22" spans="1:4" x14ac:dyDescent="0.3">
      <c r="A22" t="s">
        <v>157</v>
      </c>
      <c r="B22">
        <v>40</v>
      </c>
    </row>
  </sheetData>
  <mergeCells count="3">
    <mergeCell ref="A16:A17"/>
    <mergeCell ref="A18:A19"/>
    <mergeCell ref="B21:D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3756-0CB5-4221-918D-A73D6035CD4A}">
  <dimension ref="A1:X22"/>
  <sheetViews>
    <sheetView workbookViewId="0">
      <selection activeCell="A16" sqref="A16:C22"/>
    </sheetView>
  </sheetViews>
  <sheetFormatPr defaultRowHeight="14.4" x14ac:dyDescent="0.3"/>
  <cols>
    <col min="1" max="1" width="15.33203125" bestFit="1" customWidth="1"/>
    <col min="2" max="2" width="11" bestFit="1" customWidth="1"/>
    <col min="4" max="4" width="11" bestFit="1" customWidth="1"/>
    <col min="13" max="13" width="10.109375" bestFit="1" customWidth="1"/>
    <col min="14" max="14" width="11.109375" bestFit="1" customWidth="1"/>
    <col min="15" max="15" width="11.33203125" bestFit="1" customWidth="1"/>
    <col min="16" max="16" width="10.6640625" bestFit="1" customWidth="1"/>
    <col min="17" max="17" width="10.109375" bestFit="1" customWidth="1"/>
    <col min="18" max="18" width="11" bestFit="1" customWidth="1"/>
  </cols>
  <sheetData>
    <row r="1" spans="1:24" x14ac:dyDescent="0.3">
      <c r="B1" s="3" t="s">
        <v>133</v>
      </c>
      <c r="C1" s="3" t="s">
        <v>135</v>
      </c>
      <c r="D1" s="3" t="s">
        <v>136</v>
      </c>
      <c r="E1" s="3" t="s">
        <v>137</v>
      </c>
      <c r="F1" s="3" t="s">
        <v>139</v>
      </c>
      <c r="G1" s="3" t="s">
        <v>141</v>
      </c>
      <c r="H1" s="3" t="s">
        <v>143</v>
      </c>
      <c r="I1" s="3" t="s">
        <v>145</v>
      </c>
      <c r="J1" s="3" t="s">
        <v>146</v>
      </c>
      <c r="K1" s="3" t="s">
        <v>147</v>
      </c>
      <c r="L1" s="3" t="s">
        <v>149</v>
      </c>
      <c r="M1" s="3" t="s">
        <v>138</v>
      </c>
      <c r="N1" s="3" t="s">
        <v>139</v>
      </c>
      <c r="O1" s="3" t="s">
        <v>140</v>
      </c>
      <c r="P1" s="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  <c r="V1" s="3" t="s">
        <v>147</v>
      </c>
      <c r="W1" s="3" t="s">
        <v>148</v>
      </c>
      <c r="X1" s="3" t="s">
        <v>149</v>
      </c>
    </row>
    <row r="2" spans="1:24" x14ac:dyDescent="0.3">
      <c r="A2" t="s">
        <v>150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s="3"/>
      <c r="T2" s="3"/>
    </row>
    <row r="3" spans="1:24" x14ac:dyDescent="0.3">
      <c r="A3" t="s">
        <v>151</v>
      </c>
      <c r="B3" s="1">
        <v>548.5</v>
      </c>
      <c r="C3" s="1">
        <v>424.22</v>
      </c>
      <c r="D3" s="1">
        <v>670.26</v>
      </c>
      <c r="E3" s="1">
        <v>421.31</v>
      </c>
      <c r="F3" s="1">
        <v>292.63</v>
      </c>
      <c r="G3" s="1">
        <v>337.29</v>
      </c>
      <c r="H3" s="1">
        <v>364</v>
      </c>
      <c r="I3" s="1">
        <v>385.35</v>
      </c>
      <c r="J3" s="1">
        <v>308.08999999999997</v>
      </c>
      <c r="K3" s="1">
        <v>296.13</v>
      </c>
      <c r="L3" s="1">
        <v>657.9</v>
      </c>
      <c r="M3">
        <v>479.11</v>
      </c>
      <c r="N3">
        <v>499.45</v>
      </c>
      <c r="O3">
        <v>417.1</v>
      </c>
      <c r="P3">
        <v>395.84</v>
      </c>
      <c r="Q3">
        <v>257.17</v>
      </c>
      <c r="R3">
        <v>358.16</v>
      </c>
    </row>
    <row r="4" spans="1:24" x14ac:dyDescent="0.3">
      <c r="A4" s="3" t="s">
        <v>0</v>
      </c>
      <c r="B4" s="3" t="s">
        <v>152</v>
      </c>
      <c r="C4" s="3" t="s">
        <v>152</v>
      </c>
      <c r="D4" s="3" t="s">
        <v>152</v>
      </c>
      <c r="E4" s="3" t="s">
        <v>152</v>
      </c>
      <c r="F4" s="3" t="s">
        <v>152</v>
      </c>
      <c r="G4" s="3" t="s">
        <v>152</v>
      </c>
      <c r="H4" s="3" t="s">
        <v>152</v>
      </c>
      <c r="I4" s="3" t="s">
        <v>152</v>
      </c>
      <c r="J4" s="3" t="s">
        <v>152</v>
      </c>
      <c r="K4" s="3" t="s">
        <v>152</v>
      </c>
      <c r="L4" s="3" t="s">
        <v>152</v>
      </c>
      <c r="M4" s="3" t="s">
        <v>152</v>
      </c>
      <c r="N4" s="3" t="s">
        <v>152</v>
      </c>
      <c r="O4" s="3" t="s">
        <v>152</v>
      </c>
      <c r="P4" s="3" t="s">
        <v>152</v>
      </c>
      <c r="Q4" s="3" t="s">
        <v>152</v>
      </c>
      <c r="R4" s="3" t="s">
        <v>152</v>
      </c>
      <c r="S4" s="3" t="s">
        <v>152</v>
      </c>
      <c r="T4" s="3" t="s">
        <v>152</v>
      </c>
      <c r="U4" s="3" t="s">
        <v>152</v>
      </c>
      <c r="V4" s="3" t="s">
        <v>152</v>
      </c>
      <c r="W4" s="3" t="s">
        <v>152</v>
      </c>
      <c r="X4" s="3" t="s">
        <v>152</v>
      </c>
    </row>
    <row r="5" spans="1:24" x14ac:dyDescent="0.3">
      <c r="A5">
        <v>0</v>
      </c>
      <c r="B5" s="2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/>
      <c r="T5" s="1"/>
      <c r="U5" s="1"/>
      <c r="V5" s="1"/>
      <c r="W5" s="1"/>
      <c r="X5" s="1"/>
    </row>
    <row r="6" spans="1:24" x14ac:dyDescent="0.3">
      <c r="A6">
        <v>10</v>
      </c>
      <c r="B6" s="2">
        <v>2.7402005469462298</v>
      </c>
      <c r="C6" s="6">
        <v>2.5269907123662447</v>
      </c>
      <c r="D6" s="6">
        <v>1.641154178975357</v>
      </c>
      <c r="E6" s="6">
        <v>3.1235907051814906</v>
      </c>
      <c r="F6" s="6">
        <v>1.879506544100058</v>
      </c>
      <c r="G6" s="6">
        <v>1.2689377093896221</v>
      </c>
      <c r="H6" s="6">
        <v>0.5741758241758641</v>
      </c>
      <c r="I6" s="6">
        <v>0.17386791228756443</v>
      </c>
      <c r="J6" s="6">
        <v>0.83092602810867033</v>
      </c>
      <c r="K6" s="6">
        <v>0.99280721304838015</v>
      </c>
      <c r="L6" s="6">
        <v>0.84663322693419218</v>
      </c>
      <c r="M6" s="9">
        <v>3.1767235081714067</v>
      </c>
      <c r="N6" s="9">
        <v>3.5639203123435803</v>
      </c>
      <c r="O6" s="9">
        <v>1.9036202349556599</v>
      </c>
      <c r="P6" s="9">
        <v>1.1545068714632589</v>
      </c>
      <c r="Q6" s="9">
        <v>0.31496675350933057</v>
      </c>
      <c r="R6" s="9">
        <v>0.91020772838959163</v>
      </c>
      <c r="S6" s="2"/>
      <c r="T6" s="2"/>
      <c r="U6" s="2"/>
      <c r="V6" s="2"/>
      <c r="W6" s="2"/>
      <c r="X6" s="2"/>
    </row>
    <row r="7" spans="1:24" x14ac:dyDescent="0.3">
      <c r="A7">
        <v>20</v>
      </c>
      <c r="B7" s="2">
        <v>4.9735642661805288</v>
      </c>
      <c r="C7" s="6">
        <v>3.9884965348168571</v>
      </c>
      <c r="D7" s="6">
        <v>4.271476740369442</v>
      </c>
      <c r="E7" s="6">
        <v>7.7377702879115731</v>
      </c>
      <c r="F7" s="6">
        <v>3.5642278645388785</v>
      </c>
      <c r="G7" s="6">
        <v>3.3798808147292423</v>
      </c>
      <c r="H7" s="6">
        <v>1.2637362637363012</v>
      </c>
      <c r="I7" s="6">
        <v>0.50862851952774102</v>
      </c>
      <c r="J7" s="6">
        <v>1.7202765425687152</v>
      </c>
      <c r="K7" s="6">
        <v>1.7796238138655642</v>
      </c>
      <c r="L7" s="6">
        <v>1.5002279981760154</v>
      </c>
      <c r="M7" s="9">
        <v>8.0524305483083296</v>
      </c>
      <c r="N7" s="9">
        <v>5.3578936830513655</v>
      </c>
      <c r="O7" s="9">
        <v>3.629824982018738</v>
      </c>
      <c r="P7" s="9">
        <v>5.6058003233630176</v>
      </c>
      <c r="Q7" s="9">
        <v>0.89823851926741149</v>
      </c>
      <c r="R7" s="9">
        <v>1.7422381058745036</v>
      </c>
      <c r="S7" s="2"/>
      <c r="T7" s="2"/>
      <c r="U7" s="2"/>
      <c r="V7" s="2"/>
      <c r="W7" s="2"/>
      <c r="X7" s="2"/>
    </row>
    <row r="8" spans="1:24" x14ac:dyDescent="0.3">
      <c r="A8">
        <v>30</v>
      </c>
      <c r="B8" s="2">
        <v>6.7183226982680075</v>
      </c>
      <c r="C8" s="6">
        <v>5.3368535194003615</v>
      </c>
      <c r="D8" s="6">
        <v>8.6190433563095237</v>
      </c>
      <c r="E8" s="6">
        <v>13.023664285205736</v>
      </c>
      <c r="F8" s="6">
        <v>5.327546731367228</v>
      </c>
      <c r="G8" s="6">
        <v>5.0994692994159463</v>
      </c>
      <c r="H8" s="6">
        <v>2.0576923076923728</v>
      </c>
      <c r="I8" s="6">
        <v>0.85895938756977186</v>
      </c>
      <c r="J8" s="6">
        <v>2.7070012009478224</v>
      </c>
      <c r="K8" s="6">
        <v>2.6913855401344096</v>
      </c>
      <c r="L8" s="6">
        <v>1.995744034047727</v>
      </c>
      <c r="M8" s="9">
        <v>10.291999749535586</v>
      </c>
      <c r="N8" s="9">
        <v>7.8446290920012034</v>
      </c>
      <c r="O8" s="9">
        <v>6.0033565092304455</v>
      </c>
      <c r="P8" s="9">
        <v>8.0512328213419728</v>
      </c>
      <c r="Q8" s="9">
        <v>1.5476144184780787</v>
      </c>
      <c r="R8" s="9">
        <v>2.6552378825106229</v>
      </c>
      <c r="S8" s="2"/>
      <c r="T8" s="2"/>
      <c r="U8" s="2"/>
      <c r="V8" s="2"/>
      <c r="W8" s="2"/>
      <c r="X8" s="2"/>
    </row>
    <row r="9" spans="1:24" x14ac:dyDescent="0.3">
      <c r="A9">
        <v>40</v>
      </c>
      <c r="B9" s="2">
        <v>8.0255241567912865</v>
      </c>
      <c r="C9" s="6">
        <v>6.640422422328041</v>
      </c>
      <c r="D9" s="6">
        <v>12.657774594933331</v>
      </c>
      <c r="E9" s="6">
        <v>20.084973060216999</v>
      </c>
      <c r="F9" s="6">
        <v>6.6910432969962406</v>
      </c>
      <c r="G9" s="6">
        <v>6.7805152835838944</v>
      </c>
      <c r="H9" s="6">
        <v>2.7060439560439935</v>
      </c>
      <c r="I9" s="6">
        <v>1.1599844297392345</v>
      </c>
      <c r="J9" s="6">
        <v>3.5541562530429753</v>
      </c>
      <c r="K9" s="6">
        <v>3.4376793975619031</v>
      </c>
      <c r="L9" s="6">
        <v>2.3757409940720469</v>
      </c>
      <c r="M9" s="9">
        <v>11.690425998205027</v>
      </c>
      <c r="N9" s="9">
        <v>10.40344378816698</v>
      </c>
      <c r="O9" s="9">
        <v>7.9908894749460799</v>
      </c>
      <c r="P9" s="9">
        <v>10.47392886014558</v>
      </c>
      <c r="Q9" s="9">
        <v>2.0531166154683564</v>
      </c>
      <c r="R9" s="9">
        <v>3.4202591020772837</v>
      </c>
      <c r="S9" s="2"/>
      <c r="T9" s="2"/>
      <c r="U9" s="2"/>
      <c r="V9" s="2"/>
      <c r="W9" s="2"/>
      <c r="X9" s="2"/>
    </row>
    <row r="10" spans="1:24" x14ac:dyDescent="0.3">
      <c r="A10">
        <v>50</v>
      </c>
      <c r="B10" s="2">
        <v>10.030993618960819</v>
      </c>
      <c r="C10" s="6">
        <v>9.0165480175380956</v>
      </c>
      <c r="D10" s="6">
        <v>19.966878524751611</v>
      </c>
      <c r="E10" s="6">
        <v>31.378320001898892</v>
      </c>
      <c r="F10" s="6">
        <v>8.232238663158304</v>
      </c>
      <c r="G10" s="6">
        <v>8.9566841590323651</v>
      </c>
      <c r="H10" s="6">
        <v>4.7170329670330027</v>
      </c>
      <c r="I10" s="6">
        <v>1.7931750356818836</v>
      </c>
      <c r="J10" s="6">
        <v>5.0472264598007301</v>
      </c>
      <c r="K10" s="6">
        <v>4.4169790294802906</v>
      </c>
      <c r="L10" s="6">
        <v>2.8438972488219978</v>
      </c>
      <c r="M10" s="9">
        <v>14.195070025672624</v>
      </c>
      <c r="N10" s="9">
        <v>15.154670137150866</v>
      </c>
      <c r="O10" s="9">
        <v>10.203788060417207</v>
      </c>
      <c r="P10" s="9">
        <v>13.523140662894123</v>
      </c>
      <c r="Q10" s="9">
        <v>3.4918536376715639</v>
      </c>
      <c r="R10" s="9">
        <v>4.4421487603305696</v>
      </c>
      <c r="S10" s="2"/>
      <c r="T10" s="2"/>
      <c r="U10" s="2"/>
      <c r="V10" s="2"/>
      <c r="W10" s="2"/>
      <c r="X10" s="2"/>
    </row>
    <row r="11" spans="1:24" x14ac:dyDescent="0.3">
      <c r="A11">
        <v>60</v>
      </c>
      <c r="B11" s="2">
        <v>12.971741112123992</v>
      </c>
      <c r="C11" s="6">
        <v>11.833482626938917</v>
      </c>
      <c r="D11" s="6">
        <v>32.342672992570058</v>
      </c>
      <c r="E11" s="6">
        <v>52.773492202891063</v>
      </c>
      <c r="F11" s="6">
        <v>10.022895806991778</v>
      </c>
      <c r="G11" s="6">
        <v>11.865160544338744</v>
      </c>
      <c r="H11" s="6">
        <v>5.7692307692308002</v>
      </c>
      <c r="I11" s="6">
        <v>2.382249902685901</v>
      </c>
      <c r="J11" s="6">
        <v>6.7999610503424845</v>
      </c>
      <c r="K11" s="6">
        <v>5.7035761321041774</v>
      </c>
      <c r="L11" s="6">
        <v>3.7695698434412286</v>
      </c>
      <c r="M11" s="9">
        <v>20.786458224624855</v>
      </c>
      <c r="N11" s="9">
        <v>32.764040444488927</v>
      </c>
      <c r="O11" s="9">
        <v>12.951330616159243</v>
      </c>
      <c r="P11" s="9">
        <v>17.678860145513372</v>
      </c>
      <c r="Q11" s="9">
        <v>4.4173115060077039</v>
      </c>
      <c r="R11" s="9">
        <v>5.9721911994639694</v>
      </c>
      <c r="S11" s="2"/>
      <c r="T11" s="2"/>
      <c r="U11" s="2"/>
      <c r="V11" s="2"/>
      <c r="W11" s="2"/>
      <c r="X11" s="2"/>
    </row>
    <row r="12" spans="1:24" x14ac:dyDescent="0.3">
      <c r="A12">
        <v>70</v>
      </c>
      <c r="B12" s="2">
        <v>16.207839562443063</v>
      </c>
      <c r="C12" s="6">
        <v>15.607467823299253</v>
      </c>
      <c r="D12" s="6">
        <v>42.951988780473265</v>
      </c>
      <c r="E12" s="6">
        <v>67.475255749922894</v>
      </c>
      <c r="F12" s="6">
        <v>13.334244609233497</v>
      </c>
      <c r="G12" s="6">
        <v>16.771917341160474</v>
      </c>
      <c r="H12" s="6">
        <v>9.1071428571429127</v>
      </c>
      <c r="I12" s="6">
        <v>3.4306474633450623</v>
      </c>
      <c r="J12" s="6">
        <v>10.357363108182664</v>
      </c>
      <c r="K12" s="6">
        <v>7.6723060817884319</v>
      </c>
      <c r="L12" s="6">
        <v>6.099711202310381</v>
      </c>
      <c r="M12" s="9">
        <v>25.217590949886279</v>
      </c>
      <c r="N12" s="9">
        <v>42.13835218740617</v>
      </c>
      <c r="O12" s="9">
        <v>17.487413090385999</v>
      </c>
      <c r="P12" s="9">
        <v>24.459377526273272</v>
      </c>
      <c r="Q12" s="9">
        <v>9.2273593342924976</v>
      </c>
      <c r="R12" s="9">
        <v>8.2895912441367283</v>
      </c>
      <c r="S12" s="2"/>
      <c r="T12" s="2"/>
      <c r="U12" s="2"/>
      <c r="V12" s="2"/>
      <c r="W12" s="2"/>
      <c r="X12" s="2"/>
    </row>
    <row r="13" spans="1:24" x14ac:dyDescent="0.3">
      <c r="A13">
        <v>80</v>
      </c>
      <c r="B13" s="2">
        <v>20.758432087511398</v>
      </c>
      <c r="C13" s="6">
        <v>22.196030361604898</v>
      </c>
      <c r="D13" s="6">
        <v>59.106913734968565</v>
      </c>
      <c r="E13" s="6">
        <v>91.395884265742623</v>
      </c>
      <c r="F13" s="6">
        <v>20.011618767727203</v>
      </c>
      <c r="G13" s="6">
        <v>26.34528150849421</v>
      </c>
      <c r="H13" s="6">
        <v>14.700549450549495</v>
      </c>
      <c r="I13" s="6">
        <v>6.6407162319969233</v>
      </c>
      <c r="J13" s="6">
        <v>17.326106007984716</v>
      </c>
      <c r="K13" s="6">
        <v>10.917502448249074</v>
      </c>
      <c r="L13" s="6">
        <v>18.981608147134839</v>
      </c>
      <c r="M13" s="9">
        <v>32.115798042203252</v>
      </c>
      <c r="N13" s="9">
        <v>56.924617078786667</v>
      </c>
      <c r="O13" s="9">
        <v>27.000719251977969</v>
      </c>
      <c r="P13" s="9">
        <v>36.855800323362985</v>
      </c>
      <c r="Q13" s="9">
        <v>15.833884201112136</v>
      </c>
      <c r="R13" s="9">
        <v>12.287804333258876</v>
      </c>
      <c r="S13" s="2"/>
      <c r="T13" s="2"/>
      <c r="U13" s="2"/>
      <c r="V13" s="2"/>
      <c r="W13" s="2"/>
      <c r="X13" s="2"/>
    </row>
    <row r="14" spans="1:24" x14ac:dyDescent="0.3">
      <c r="A14">
        <v>90</v>
      </c>
      <c r="B14" s="2">
        <v>32.435733819507782</v>
      </c>
      <c r="C14" s="6">
        <v>37.591344113903219</v>
      </c>
      <c r="D14" s="6">
        <v>85.875630352400577</v>
      </c>
      <c r="E14" s="2">
        <v>131.39493484607536</v>
      </c>
      <c r="F14" s="6">
        <v>30.099442982606053</v>
      </c>
      <c r="G14" s="6">
        <v>46.200598891161931</v>
      </c>
      <c r="H14" s="6">
        <v>19.431318681318732</v>
      </c>
      <c r="I14" s="6">
        <v>9.7054625664979977</v>
      </c>
      <c r="J14" s="6">
        <v>25.083579473530513</v>
      </c>
      <c r="K14" s="6">
        <v>17.877283625434774</v>
      </c>
      <c r="L14" s="6">
        <v>47.41450068399454</v>
      </c>
      <c r="M14" s="9">
        <v>48.619314979858522</v>
      </c>
      <c r="N14" s="9">
        <v>83.868255080588668</v>
      </c>
      <c r="O14" s="9">
        <v>44.003836010549044</v>
      </c>
      <c r="P14" s="9">
        <v>60.764450282942647</v>
      </c>
      <c r="Q14" s="9">
        <v>18.824124120231783</v>
      </c>
      <c r="R14" s="9">
        <v>17.732298414116606</v>
      </c>
      <c r="S14" s="2"/>
      <c r="T14" s="2"/>
      <c r="U14" s="2"/>
      <c r="V14" s="2"/>
      <c r="W14" s="2"/>
      <c r="X14" s="2"/>
    </row>
    <row r="16" spans="1:24" x14ac:dyDescent="0.3">
      <c r="A16" s="14" t="s">
        <v>153</v>
      </c>
      <c r="B16" s="4">
        <v>1E-3</v>
      </c>
    </row>
    <row r="17" spans="1:3" x14ac:dyDescent="0.3">
      <c r="A17" s="14"/>
    </row>
    <row r="18" spans="1:3" x14ac:dyDescent="0.3">
      <c r="A18" s="14" t="s">
        <v>154</v>
      </c>
      <c r="B18">
        <v>0.01</v>
      </c>
    </row>
    <row r="19" spans="1:3" x14ac:dyDescent="0.3">
      <c r="A19" s="14"/>
    </row>
    <row r="21" spans="1:3" x14ac:dyDescent="0.3">
      <c r="A21" t="s">
        <v>155</v>
      </c>
      <c r="B21" s="15" t="s">
        <v>163</v>
      </c>
      <c r="C21" s="15"/>
    </row>
    <row r="22" spans="1:3" x14ac:dyDescent="0.3">
      <c r="A22" t="s">
        <v>157</v>
      </c>
      <c r="B22">
        <v>20</v>
      </c>
    </row>
  </sheetData>
  <mergeCells count="3">
    <mergeCell ref="A16:A17"/>
    <mergeCell ref="A18:A19"/>
    <mergeCell ref="B21:C2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3412-B2B4-4CD6-9850-E4EBEC90F903}">
  <dimension ref="A1:X22"/>
  <sheetViews>
    <sheetView tabSelected="1" zoomScale="94" workbookViewId="0">
      <selection activeCell="M26" sqref="M26"/>
    </sheetView>
  </sheetViews>
  <sheetFormatPr defaultRowHeight="14.4" x14ac:dyDescent="0.3"/>
  <cols>
    <col min="1" max="1" width="15.33203125" bestFit="1" customWidth="1"/>
    <col min="2" max="2" width="11" bestFit="1" customWidth="1"/>
    <col min="13" max="13" width="10" bestFit="1" customWidth="1"/>
  </cols>
  <sheetData>
    <row r="1" spans="1:24" x14ac:dyDescent="0.3">
      <c r="B1" s="3" t="s">
        <v>133</v>
      </c>
      <c r="C1" s="3" t="s">
        <v>135</v>
      </c>
      <c r="D1" s="3" t="s">
        <v>136</v>
      </c>
      <c r="E1" s="3" t="s">
        <v>137</v>
      </c>
      <c r="F1" s="3" t="s">
        <v>139</v>
      </c>
      <c r="G1" s="3" t="s">
        <v>141</v>
      </c>
      <c r="H1" s="3" t="s">
        <v>143</v>
      </c>
      <c r="I1" s="3" t="s">
        <v>145</v>
      </c>
      <c r="J1" s="3" t="s">
        <v>146</v>
      </c>
      <c r="K1" s="3" t="s">
        <v>147</v>
      </c>
      <c r="L1" s="3" t="s">
        <v>149</v>
      </c>
      <c r="M1" s="3" t="s">
        <v>138</v>
      </c>
      <c r="N1" s="3" t="s">
        <v>139</v>
      </c>
      <c r="O1" s="3" t="s">
        <v>140</v>
      </c>
      <c r="P1" s="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  <c r="V1" s="3" t="s">
        <v>147</v>
      </c>
      <c r="W1" s="3" t="s">
        <v>148</v>
      </c>
      <c r="X1" s="3" t="s">
        <v>149</v>
      </c>
    </row>
    <row r="2" spans="1:24" x14ac:dyDescent="0.3">
      <c r="A2" t="s">
        <v>150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3">
      <c r="A3" t="s">
        <v>151</v>
      </c>
      <c r="B3" s="2">
        <v>551.66999999999996</v>
      </c>
      <c r="C3" s="2">
        <v>374.49</v>
      </c>
      <c r="D3" s="2">
        <v>620.16</v>
      </c>
      <c r="E3" s="2">
        <v>373.9</v>
      </c>
      <c r="F3" s="2">
        <v>314.02</v>
      </c>
      <c r="G3" s="2">
        <v>348.56</v>
      </c>
      <c r="H3" s="2">
        <v>379.54</v>
      </c>
      <c r="I3" s="2">
        <v>434.83</v>
      </c>
      <c r="J3" s="2">
        <v>366.99</v>
      </c>
      <c r="K3" s="2">
        <v>398.33</v>
      </c>
      <c r="L3" s="2">
        <v>602.13</v>
      </c>
    </row>
    <row r="4" spans="1:24" x14ac:dyDescent="0.3">
      <c r="A4" s="3" t="s">
        <v>0</v>
      </c>
      <c r="B4" s="3" t="s">
        <v>152</v>
      </c>
      <c r="C4" s="3" t="s">
        <v>152</v>
      </c>
      <c r="D4" s="3" t="s">
        <v>152</v>
      </c>
      <c r="E4" s="3" t="s">
        <v>152</v>
      </c>
      <c r="F4" s="3" t="s">
        <v>152</v>
      </c>
      <c r="G4" s="3" t="s">
        <v>152</v>
      </c>
      <c r="H4" s="3" t="s">
        <v>152</v>
      </c>
      <c r="I4" s="3" t="s">
        <v>152</v>
      </c>
      <c r="J4" s="3" t="s">
        <v>152</v>
      </c>
      <c r="K4" s="3" t="s">
        <v>152</v>
      </c>
      <c r="L4" s="3" t="s">
        <v>152</v>
      </c>
      <c r="M4" s="3" t="s">
        <v>152</v>
      </c>
      <c r="N4" s="3" t="s">
        <v>152</v>
      </c>
      <c r="O4" s="3" t="s">
        <v>152</v>
      </c>
      <c r="P4" s="3" t="s">
        <v>152</v>
      </c>
      <c r="Q4" s="3" t="s">
        <v>152</v>
      </c>
      <c r="R4" s="3" t="s">
        <v>152</v>
      </c>
      <c r="S4" s="3" t="s">
        <v>152</v>
      </c>
      <c r="T4" s="3" t="s">
        <v>152</v>
      </c>
      <c r="U4" s="3" t="s">
        <v>152</v>
      </c>
      <c r="V4" s="3" t="s">
        <v>152</v>
      </c>
      <c r="W4" s="3" t="s">
        <v>152</v>
      </c>
      <c r="X4" s="3" t="s">
        <v>152</v>
      </c>
    </row>
    <row r="5" spans="1:24" x14ac:dyDescent="0.3">
      <c r="A5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>
        <v>10</v>
      </c>
      <c r="B6" s="2">
        <v>2.5721898961335681</v>
      </c>
      <c r="C6" s="2">
        <v>2.4112793399022596</v>
      </c>
      <c r="D6" s="2">
        <v>1.978521671826641</v>
      </c>
      <c r="E6" s="2">
        <v>2.7092805562985047</v>
      </c>
      <c r="F6" s="2">
        <v>1.6241003757723054</v>
      </c>
      <c r="G6" s="2">
        <v>1.1619233417488968</v>
      </c>
      <c r="H6" s="2">
        <v>0.52958844917535997</v>
      </c>
      <c r="I6" s="2">
        <v>0.24607317802364617</v>
      </c>
      <c r="J6" s="2">
        <v>0.76023869860216275</v>
      </c>
      <c r="K6" s="2">
        <v>1.1322270479251422</v>
      </c>
      <c r="L6" s="2">
        <v>0.99480178698955979</v>
      </c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A7">
        <v>20</v>
      </c>
      <c r="B7" s="2">
        <v>4.6241412438595733</v>
      </c>
      <c r="C7" s="2">
        <v>3.7624502656946865</v>
      </c>
      <c r="D7" s="2">
        <v>4.9487229102167456</v>
      </c>
      <c r="E7" s="2">
        <v>6.2824284568066817</v>
      </c>
      <c r="F7" s="2">
        <v>3.4456404050697933</v>
      </c>
      <c r="G7" s="2">
        <v>3.414046362175835</v>
      </c>
      <c r="H7" s="2">
        <v>1.3173842019286954</v>
      </c>
      <c r="I7" s="2">
        <v>0.63703056366860822</v>
      </c>
      <c r="J7" s="2">
        <v>1.7139431592141841</v>
      </c>
      <c r="K7" s="2">
        <v>2.0636155951096038</v>
      </c>
      <c r="L7" s="2">
        <v>1.6707355554448851</v>
      </c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A8">
        <v>30</v>
      </c>
      <c r="B8" s="2">
        <v>6.1957329562963901</v>
      </c>
      <c r="C8" s="2">
        <v>4.9453924003311123</v>
      </c>
      <c r="D8" s="2">
        <v>7.7996001031991939</v>
      </c>
      <c r="E8" s="2">
        <v>10.484086654185685</v>
      </c>
      <c r="F8" s="2">
        <v>4.9710209540794352</v>
      </c>
      <c r="G8" s="2">
        <v>5.2214826715630318</v>
      </c>
      <c r="H8" s="2">
        <v>1.9286504716235573</v>
      </c>
      <c r="I8" s="2">
        <v>0.91070073362009607</v>
      </c>
      <c r="J8" s="2">
        <v>2.4823564674786662</v>
      </c>
      <c r="K8" s="2">
        <v>2.766550347701707</v>
      </c>
      <c r="L8" s="2">
        <v>2.0958929134904998</v>
      </c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A9">
        <v>40</v>
      </c>
      <c r="B9" s="2">
        <v>7.7582612793880541</v>
      </c>
      <c r="C9" s="2">
        <v>6.5555822585382666</v>
      </c>
      <c r="D9" s="2">
        <v>11.424471104231189</v>
      </c>
      <c r="E9" s="2">
        <v>16.870821075153827</v>
      </c>
      <c r="F9" s="2">
        <v>6.3148844022674027</v>
      </c>
      <c r="G9" s="2">
        <v>7.1178563231581702</v>
      </c>
      <c r="H9" s="2">
        <v>2.5741687305686232</v>
      </c>
      <c r="I9" s="2">
        <v>1.2280661407907003</v>
      </c>
      <c r="J9" s="2">
        <v>3.3488650916919238</v>
      </c>
      <c r="K9" s="2">
        <v>3.5146737629604168</v>
      </c>
      <c r="L9" s="2">
        <v>2.3848670552871045</v>
      </c>
      <c r="M9" s="5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A10">
        <v>50</v>
      </c>
      <c r="B10" s="2">
        <v>10.074863595990385</v>
      </c>
      <c r="C10" s="2">
        <v>8.5903495420438798</v>
      </c>
      <c r="D10" s="2">
        <v>17.659958720330252</v>
      </c>
      <c r="E10" s="2">
        <v>28.464830168494299</v>
      </c>
      <c r="F10" s="2">
        <v>7.712884529647857</v>
      </c>
      <c r="G10" s="2">
        <v>9.3441588248795178</v>
      </c>
      <c r="H10" s="2">
        <v>4.0048479738631393</v>
      </c>
      <c r="I10" s="2">
        <v>1.7294114941471992</v>
      </c>
      <c r="J10" s="2">
        <v>4.5723316711627096</v>
      </c>
      <c r="K10" s="2">
        <v>4.3657269098486715</v>
      </c>
      <c r="L10" s="2">
        <v>3.1172670353578478</v>
      </c>
      <c r="M10" s="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A11">
        <v>60</v>
      </c>
      <c r="B11" s="2">
        <v>12.744938097050827</v>
      </c>
      <c r="C11" s="2">
        <v>10.902827845870394</v>
      </c>
      <c r="D11" s="2">
        <v>28.973168214654315</v>
      </c>
      <c r="E11" s="2">
        <v>47.507354907729372</v>
      </c>
      <c r="F11" s="2">
        <v>9.4930259219158746</v>
      </c>
      <c r="G11" s="2">
        <v>12.563116823502432</v>
      </c>
      <c r="H11" s="2">
        <v>5.5461874901196362</v>
      </c>
      <c r="I11" s="2">
        <v>2.4768300255272657</v>
      </c>
      <c r="J11" s="2">
        <v>6.632333306084643</v>
      </c>
      <c r="K11" s="2">
        <v>5.6184570582180742</v>
      </c>
      <c r="L11" s="2">
        <v>4.8560941989271811</v>
      </c>
      <c r="M11" s="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A12">
        <v>70</v>
      </c>
      <c r="B12" s="2">
        <v>15.686914278463608</v>
      </c>
      <c r="C12" s="2">
        <v>13.57312611818741</v>
      </c>
      <c r="D12" s="2">
        <v>39.541408668730696</v>
      </c>
      <c r="E12" s="2">
        <v>62.693233484889063</v>
      </c>
      <c r="F12" s="2">
        <v>11.66804662123435</v>
      </c>
      <c r="G12" s="2">
        <v>17.362864356208394</v>
      </c>
      <c r="H12" s="2">
        <v>9.2322284871159876</v>
      </c>
      <c r="I12" s="2">
        <v>3.6749994250627118</v>
      </c>
      <c r="J12" s="2">
        <v>10.248235646747917</v>
      </c>
      <c r="K12" s="2">
        <v>7.3531996083649283</v>
      </c>
      <c r="L12" s="2">
        <v>9.7669938385398982</v>
      </c>
      <c r="M12" s="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A13">
        <v>80</v>
      </c>
      <c r="B13" s="2">
        <v>20.950930810085769</v>
      </c>
      <c r="C13" s="2">
        <v>18.913722662821446</v>
      </c>
      <c r="D13" s="2">
        <v>55.295407636738943</v>
      </c>
      <c r="E13" s="2">
        <v>86.75581706338599</v>
      </c>
      <c r="F13" s="2">
        <v>16.47984204827727</v>
      </c>
      <c r="G13" s="2">
        <v>25.932407619921975</v>
      </c>
      <c r="H13" s="2">
        <v>14.912789165832343</v>
      </c>
      <c r="I13" s="2">
        <v>6.5266885909436247</v>
      </c>
      <c r="J13" s="2">
        <v>17.128532112591675</v>
      </c>
      <c r="K13" s="2">
        <v>9.931463861622273</v>
      </c>
      <c r="L13" s="2">
        <v>47.461511633700397</v>
      </c>
      <c r="M13" s="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B14" s="2"/>
      <c r="C14" s="2"/>
      <c r="D14" s="2"/>
      <c r="E14" s="2"/>
      <c r="F14" s="2"/>
      <c r="G14" s="2"/>
      <c r="H14" s="5"/>
      <c r="I14" s="2"/>
      <c r="J14" s="2"/>
      <c r="K14" s="2"/>
      <c r="L14" s="2"/>
      <c r="M14" s="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6" spans="1:24" x14ac:dyDescent="0.3">
      <c r="A16" s="14" t="s">
        <v>153</v>
      </c>
      <c r="B16" s="4">
        <v>1E-3</v>
      </c>
    </row>
    <row r="17" spans="1:9" x14ac:dyDescent="0.3">
      <c r="A17" s="14"/>
    </row>
    <row r="18" spans="1:9" x14ac:dyDescent="0.3">
      <c r="A18" s="14" t="s">
        <v>154</v>
      </c>
      <c r="B18">
        <v>0.01</v>
      </c>
      <c r="I18" t="s">
        <v>164</v>
      </c>
    </row>
    <row r="19" spans="1:9" x14ac:dyDescent="0.3">
      <c r="A19" s="14"/>
    </row>
    <row r="21" spans="1:9" x14ac:dyDescent="0.3">
      <c r="A21" t="s">
        <v>155</v>
      </c>
      <c r="B21" s="15" t="s">
        <v>165</v>
      </c>
      <c r="C21" s="15"/>
      <c r="D21" s="15"/>
    </row>
    <row r="22" spans="1:9" x14ac:dyDescent="0.3">
      <c r="A22" t="s">
        <v>157</v>
      </c>
      <c r="B22">
        <v>40</v>
      </c>
    </row>
  </sheetData>
  <mergeCells count="3">
    <mergeCell ref="A16:A17"/>
    <mergeCell ref="A18:A19"/>
    <mergeCell ref="B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final_plots</vt:lpstr>
      <vt:lpstr>Valori output_1_20</vt:lpstr>
      <vt:lpstr>Valori output_2_20</vt:lpstr>
      <vt:lpstr>Valori output_3_20</vt:lpstr>
      <vt:lpstr>Valori output_4_20</vt:lpstr>
      <vt:lpstr>Valori output_5_20</vt:lpstr>
      <vt:lpstr>Valori output_6_20</vt:lpstr>
      <vt:lpstr>Valori input_6_20</vt:lpstr>
      <vt:lpstr>Valori input_5_20</vt:lpstr>
      <vt:lpstr>Valori input_4_20</vt:lpstr>
      <vt:lpstr>Valori input_3_20</vt:lpstr>
      <vt:lpstr>Valori output_1_40</vt:lpstr>
      <vt:lpstr>Valori output_2_40</vt:lpstr>
      <vt:lpstr>Valori input_1_20</vt:lpstr>
      <vt:lpstr>Valori input_1_40</vt:lpstr>
      <vt:lpstr>Valori input_2_20</vt:lpstr>
      <vt:lpstr>Valori input_2_40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Alessio Mondello</dc:creator>
  <cp:keywords/>
  <dc:description/>
  <cp:lastModifiedBy>Giulio  Barletta</cp:lastModifiedBy>
  <cp:revision/>
  <dcterms:created xsi:type="dcterms:W3CDTF">2015-06-05T18:19:34Z</dcterms:created>
  <dcterms:modified xsi:type="dcterms:W3CDTF">2026-01-13T13:03:55Z</dcterms:modified>
  <cp:category/>
  <cp:contentStatus/>
</cp:coreProperties>
</file>